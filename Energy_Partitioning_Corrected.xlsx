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orrected Calculations" sheetId="2" state="visible" r:id="rId4"/>
    <sheet name="3. Treatment Means (T4.6-4.8)" sheetId="3" state="visible" r:id="rId5"/>
    <sheet name="4. CST vs Model (T4.10-4.12)" sheetId="4" state="visible" r:id="rId6"/>
    <sheet name="5. Assumptions &amp; Refere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<sst xmlns="http://schemas.openxmlformats.org/spreadsheetml/2006/main" count="505" uniqueCount="205">
  <si>
    <t xml:space="preserve">RAW COLLECTED DATA — ALL ANALYSIS (Source: Bomb Calorimeter, Carcass Analysis, Feed Records)</t>
  </si>
  <si>
    <t xml:space="preserve">Blue = hardcoded source data inputs  |  Red = FFS3 corrected GE Excreta  |  These values flow into all calculated sheets</t>
  </si>
  <si>
    <t xml:space="preserve">Rep Code</t>
  </si>
  <si>
    <t xml:space="preserve">Diet Name</t>
  </si>
  <si>
    <t xml:space="preserve">Group</t>
  </si>
  <si>
    <t xml:space="preserve">GE Feed
(kcal/kg)</t>
  </si>
  <si>
    <t xml:space="preserve">GE Excreta
(kcal/kg)*</t>
  </si>
  <si>
    <t xml:space="preserve">Ti Feed
(%)</t>
  </si>
  <si>
    <t xml:space="preserve">Ti Excreta
(%)</t>
  </si>
  <si>
    <t xml:space="preserve">ADFI
(g/day)</t>
  </si>
  <si>
    <t xml:space="preserve">CFI
(g/bird)</t>
  </si>
  <si>
    <t xml:space="preserve">BWI
(g, Day 1)</t>
  </si>
  <si>
    <t xml:space="preserve">BEF
(g, Day 10)</t>
  </si>
  <si>
    <t xml:space="preserve">Init GE Carc
(kcal/kg)</t>
  </si>
  <si>
    <t xml:space="preserve">Final GE Carc
(kcal/kg)</t>
  </si>
  <si>
    <t xml:space="preserve">Carcass Fat
(g)</t>
  </si>
  <si>
    <t xml:space="preserve">Carcass Protein
(g)</t>
  </si>
  <si>
    <t xml:space="preserve">n</t>
  </si>
  <si>
    <t xml:space="preserve">RD1</t>
  </si>
  <si>
    <t xml:space="preserve">Reference</t>
  </si>
  <si>
    <t xml:space="preserve">Cereal</t>
  </si>
  <si>
    <t xml:space="preserve">RD2</t>
  </si>
  <si>
    <t xml:space="preserve">RD3</t>
  </si>
  <si>
    <t xml:space="preserve">MZ1</t>
  </si>
  <si>
    <t xml:space="preserve">Maize</t>
  </si>
  <si>
    <t xml:space="preserve">MZ2</t>
  </si>
  <si>
    <t xml:space="preserve">MZ3</t>
  </si>
  <si>
    <t xml:space="preserve">SG1</t>
  </si>
  <si>
    <t xml:space="preserve">Sorghum</t>
  </si>
  <si>
    <t xml:space="preserve">SG2</t>
  </si>
  <si>
    <t xml:space="preserve">SG3</t>
  </si>
  <si>
    <t xml:space="preserve">PM1</t>
  </si>
  <si>
    <t xml:space="preserve">Pearl Millet</t>
  </si>
  <si>
    <t xml:space="preserve">PM2</t>
  </si>
  <si>
    <t xml:space="preserve">PM3</t>
  </si>
  <si>
    <t xml:space="preserve">WT1</t>
  </si>
  <si>
    <t xml:space="preserve">Wheat</t>
  </si>
  <si>
    <t xml:space="preserve">WT2</t>
  </si>
  <si>
    <t xml:space="preserve">WT3</t>
  </si>
  <si>
    <t xml:space="preserve">SBM1</t>
  </si>
  <si>
    <t xml:space="preserve">Soya Bean Meal</t>
  </si>
  <si>
    <t xml:space="preserve">Protein</t>
  </si>
  <si>
    <t xml:space="preserve">SBM2</t>
  </si>
  <si>
    <t xml:space="preserve">SBM3</t>
  </si>
  <si>
    <t xml:space="preserve">FFS1</t>
  </si>
  <si>
    <t xml:space="preserve">Full-Fat Soya</t>
  </si>
  <si>
    <t xml:space="preserve">FFS2</t>
  </si>
  <si>
    <t xml:space="preserve">FFS3</t>
  </si>
  <si>
    <t xml:space="preserve">GNC1</t>
  </si>
  <si>
    <t xml:space="preserve">Groundnut Cake</t>
  </si>
  <si>
    <t xml:space="preserve">GNC2</t>
  </si>
  <si>
    <t xml:space="preserve">GNC3</t>
  </si>
  <si>
    <t xml:space="preserve">WB1</t>
  </si>
  <si>
    <t xml:space="preserve">Wheat Bran</t>
  </si>
  <si>
    <t xml:space="preserve">Fibre</t>
  </si>
  <si>
    <t xml:space="preserve">WB2</t>
  </si>
  <si>
    <t xml:space="preserve">WB3</t>
  </si>
  <si>
    <t xml:space="preserve">BDG1</t>
  </si>
  <si>
    <t xml:space="preserve">Brewers Dried Grain</t>
  </si>
  <si>
    <t xml:space="preserve">BDG2</t>
  </si>
  <si>
    <t xml:space="preserve">BDG3</t>
  </si>
  <si>
    <t xml:space="preserve">RB1</t>
  </si>
  <si>
    <t xml:space="preserve">Rice Bran</t>
  </si>
  <si>
    <t xml:space="preserve">RB2</t>
  </si>
  <si>
    <t xml:space="preserve">RB3</t>
  </si>
  <si>
    <t xml:space="preserve">CB1</t>
  </si>
  <si>
    <t xml:space="preserve">Corn Bran</t>
  </si>
  <si>
    <t xml:space="preserve">CB2</t>
  </si>
  <si>
    <t xml:space="preserve">CB3</t>
  </si>
  <si>
    <t xml:space="preserve">NOTE: FFS3 GE Excreta (col E) is computed via Excel formula =AVERAGE(FFS1, FFS2) because the original value (321,208.5 kcal/kg) was a data entry error causing ME = –4,827 kcal/kg. Corrected to 1,266.75 kcal/kg. All subsequent sheets reference col E so this correction propagates automatically.</t>
  </si>
  <si>
    <t xml:space="preserve">Blue = Source input data</t>
  </si>
  <si>
    <t xml:space="preserve">Red/pink = Corrected FFS3 GE Excreta (formula)</t>
  </si>
  <si>
    <t xml:space="preserve">Green = Calculated values (see Sheet 2)</t>
  </si>
  <si>
    <t xml:space="preserve">CORRECTED CALCULATIONS — All values computed by formula from Sheet 1 Raw Data</t>
  </si>
  <si>
    <t xml:space="preserve">Green = calculated from raw data  |  All formulas reference Sheet "1. Raw Data"  |  Change raw data → all values update</t>
  </si>
  <si>
    <t xml:space="preserve">Rep
Code</t>
  </si>
  <si>
    <t xml:space="preserve">ME
(kcal/kg)</t>
  </si>
  <si>
    <t xml:space="preserve">MEI
(kcal/bird)</t>
  </si>
  <si>
    <t xml:space="preserve">RE / NEp
(kcal/bird)</t>
  </si>
  <si>
    <t xml:space="preserve">HP
(kcal/bird)</t>
  </si>
  <si>
    <t xml:space="preserve">REF
(kcal)</t>
  </si>
  <si>
    <t xml:space="preserve">REP
(kcal)</t>
  </si>
  <si>
    <t xml:space="preserve">KREF</t>
  </si>
  <si>
    <t xml:space="preserve">KREP</t>
  </si>
  <si>
    <t xml:space="preserve">Fat %
(corrected)</t>
  </si>
  <si>
    <t xml:space="preserve">Protein %
(corrected)</t>
  </si>
  <si>
    <t xml:space="preserve">BWG
(g)</t>
  </si>
  <si>
    <t xml:space="preserve">BWI
(g)</t>
  </si>
  <si>
    <t xml:space="preserve">BEF
(g)</t>
  </si>
  <si>
    <t xml:space="preserve">CFI
(g)</t>
  </si>
  <si>
    <t xml:space="preserve">ADFI
(g/d)</t>
  </si>
  <si>
    <t xml:space="preserve">REF/MEI (formula)</t>
  </si>
  <si>
    <t xml:space="preserve">REP/MEI (formula)</t>
  </si>
  <si>
    <t xml:space="preserve">CORRECTION NOTES:  (1) ME = GE_Feed − GE_Excreta × (Ti_Feed/Ti_Excreta)  [marker method, AOAC 1990]  |  (2) MEI = ME × CFI / 1000  |  (3) RE = (Final_GE_Carc × BEF − Init_GE_Carc × BWI) / 1000  [van der Klein et al., 2020]  |  (4) HP = MEI − RE  |  (5) REF = Carcass fat (g) × 9.13 kcal/g  [CORRECTED from 38.2 kJ/g]  |  (6) REP = Carcass protein (g) × 5.64 kcal/g  [CORRECTED from 23.6 kJ/g]  |  (7) Fat% = Carc_Fat/BEF × 100  [CORRECTED: original reported grams as %]</t>
  </si>
  <si>
    <t xml:space="preserve">TREATMENT MEANS — CST Energy Partitioning (Tables 4.6, 4.7, 4.8)  |  All means computed by formula from Sheet 2  |  AVERAGEIF by diet name</t>
  </si>
  <si>
    <t xml:space="preserve">Diet</t>
  </si>
  <si>
    <t xml:space="preserve">MEI Mean
(kcal)</t>
  </si>
  <si>
    <t xml:space="preserve">MEI SD</t>
  </si>
  <si>
    <t xml:space="preserve">RE/NEp Mean
(kcal)</t>
  </si>
  <si>
    <t xml:space="preserve">RE/NEp SD</t>
  </si>
  <si>
    <t xml:space="preserve">HP Mean
(kcal)</t>
  </si>
  <si>
    <t xml:space="preserve">HP SD</t>
  </si>
  <si>
    <t xml:space="preserve">REF Mean
(kcal)</t>
  </si>
  <si>
    <t xml:space="preserve">REF SD</t>
  </si>
  <si>
    <t xml:space="preserve">REP Mean
(kcal)</t>
  </si>
  <si>
    <t xml:space="preserve">REP SD</t>
  </si>
  <si>
    <t xml:space="preserve">KREF Mean</t>
  </si>
  <si>
    <t xml:space="preserve">KREF SD</t>
  </si>
  <si>
    <t xml:space="preserve">KREP Mean</t>
  </si>
  <si>
    <t xml:space="preserve">Cereal Diets</t>
  </si>
  <si>
    <t xml:space="preserve">Protein Diets</t>
  </si>
  <si>
    <t xml:space="preserve">Fibre Diets</t>
  </si>
  <si>
    <t xml:space="preserve">FORMULAE: Mean = AVERAGEIF(DietName_range, diet, value_range)  |  SD uses array formula =STDEV(IF(DietName_range=diet, value_range)) — enter with Ctrl+Shift+Enter in Excel  |  REF = Carcass fat (g) × 9.13 kcal/g  |  REP = Carcass protein (g) × 5.64 kcal/g  |  n = 3 replicates per diet throughout  |  Reference: Larbier &amp; Leclercq (1992); van der Klein et al. (2020)</t>
  </si>
  <si>
    <t xml:space="preserve">CST vs MATHEMATICAL MODEL COMPARISON — Tables 4.10, 4.11, 4.12  |  HP, RE and NEg estimated by CST and nonlinear model</t>
  </si>
  <si>
    <t xml:space="preserve">Model Parameters (re-fitted in R, equivalent to SAS PROC NLMIXED)</t>
  </si>
  <si>
    <t xml:space="preserve">a (maintenance coeff.)</t>
  </si>
  <si>
    <t xml:space="preserve">b (BW exponent)</t>
  </si>
  <si>
    <t xml:space="preserve">c (growth coeff.)</t>
  </si>
  <si>
    <t xml:space="preserve">d (BW^d)</t>
  </si>
  <si>
    <t xml:space="preserve">e (ADWG^e)</t>
  </si>
  <si>
    <t xml:space="preserve">HP_model (kcal/day) = a × BW^b     |     RE_model (kcal/day) = MEId_obs – HP_model     |     Δ% = (CST – Model) / CST × 100  [positive = model underestimates]</t>
  </si>
  <si>
    <t xml:space="preserve">Model equation</t>
  </si>
  <si>
    <t xml:space="preserve">a =</t>
  </si>
  <si>
    <t xml:space="preserve">b =</t>
  </si>
  <si>
    <t xml:space="preserve">c =</t>
  </si>
  <si>
    <t xml:space="preserve">d =</t>
  </si>
  <si>
    <t xml:space="preserve">e =</t>
  </si>
  <si>
    <t xml:space="preserve">Method</t>
  </si>
  <si>
    <t xml:space="preserve">BW mean
(kg)</t>
  </si>
  <si>
    <t xml:space="preserve">ADWG mean
(g/day)</t>
  </si>
  <si>
    <t xml:space="preserve">MEId obs
(kcal/10d)</t>
  </si>
  <si>
    <t xml:space="preserve">HP
(kcal/10d)</t>
  </si>
  <si>
    <t xml:space="preserve">ΔHP
(%)</t>
  </si>
  <si>
    <t xml:space="preserve">RE
(kcal/10d)</t>
  </si>
  <si>
    <t xml:space="preserve">ΔRE
(%)</t>
  </si>
  <si>
    <t xml:space="preserve">NEg
(kcal/10d)</t>
  </si>
  <si>
    <t xml:space="preserve">CST</t>
  </si>
  <si>
    <t xml:space="preserve">–</t>
  </si>
  <si>
    <t xml:space="preserve">Model</t>
  </si>
  <si>
    <t xml:space="preserve">HP_model = a × BW^b × 10  (population mean equation, u_j = 0, ×10 for 10-day period)  |  RE_model = MEI_obs − HP_model  (van der Klein et al., 2020 approach)  |  Δ% = (CST − Model) / CST × 100  [positive ΔHP = model underestimates; negative ΔRE = model overestimates]  |  Model parameters (a, b) in red cells row 5 above — change these to update all model predictions automatically</t>
  </si>
  <si>
    <t xml:space="preserve">ASSUMPTIONS, CONVERSION FACTORS AND KEY REFERENCES</t>
  </si>
  <si>
    <t xml:space="preserve">ENERGY CONVERSION FACTORS (stored here, referenced by Sheet 2)</t>
  </si>
  <si>
    <t xml:space="preserve">Fat energy conversion</t>
  </si>
  <si>
    <t xml:space="preserve">kcal/g</t>
  </si>
  <si>
    <t xml:space="preserve">Larbier &amp; Leclercq (1992). Nutrition and Feeding of Poultry. Nottingham University Press.</t>
  </si>
  <si>
    <t xml:space="preserve">Protein energy conversion</t>
  </si>
  <si>
    <t xml:space="preserve">N correction factor</t>
  </si>
  <si>
    <t xml:space="preserve">kcal/g N retained</t>
  </si>
  <si>
    <t xml:space="preserve">Sibbald (1975); standard MEn correction.</t>
  </si>
  <si>
    <t xml:space="preserve">MODEL PARAMETERS (van der Klein et al., 2020 — re-fitted in R for this study)</t>
  </si>
  <si>
    <t xml:space="preserve">a (maintenance coefficient)</t>
  </si>
  <si>
    <t xml:space="preserve">kcal/day/kg^b</t>
  </si>
  <si>
    <t xml:space="preserve">Fitted: nlme ML, R v4.3.3 (SE=24.46, p=0.0002***)</t>
  </si>
  <si>
    <t xml:space="preserve">b (BW scaling exponent)</t>
  </si>
  <si>
    <t xml:space="preserve">Fitted: nlme ML (SE=0.072, p&lt;0.001***)</t>
  </si>
  <si>
    <t xml:space="preserve">c (growth coefficient)</t>
  </si>
  <si>
    <t xml:space="preserve">kcal/day</t>
  </si>
  <si>
    <t xml:space="preserve">Fitted: nlme ML (SE=83.51, p=0.780 ns)</t>
  </si>
  <si>
    <t xml:space="preserve">d (BW^d, growth term)</t>
  </si>
  <si>
    <t xml:space="preserve">Fitted: nlme ML (SE=0.985, p=0.101 ns)</t>
  </si>
  <si>
    <t xml:space="preserve">e (ADWG^e, growth term)</t>
  </si>
  <si>
    <t xml:space="preserve">Fitted: nlme ML (SE=0.828, p=0.547 ns)</t>
  </si>
  <si>
    <t xml:space="preserve">sigma_u (pen-level SD)</t>
  </si>
  <si>
    <t xml:space="preserve">ICC = 0.875 (87.5% variance between pens)</t>
  </si>
  <si>
    <t xml:space="preserve">sigma_e (residual SD)</t>
  </si>
  <si>
    <t xml:space="preserve">AIC=427.70, BIC=450.72, -2LL=413.70</t>
  </si>
  <si>
    <t xml:space="preserve">KEY CORRECTIONS MADE TO ORIGINAL DATA</t>
  </si>
  <si>
    <t xml:space="preserve">FFS3 GE Excreta</t>
  </si>
  <si>
    <t xml:space="preserve">Corrected</t>
  </si>
  <si>
    <t xml:space="preserve">321208.5→1266.75 kcal/kg</t>
  </si>
  <si>
    <t xml:space="preserve">Data entry error; corrected to AVERAGE(FFS1,FFS2) via Excel formula</t>
  </si>
  <si>
    <t xml:space="preserve">REF conversion</t>
  </si>
  <si>
    <t xml:space="preserve">38.2 kJ/g → 9.13 kcal/g</t>
  </si>
  <si>
    <t xml:space="preserve">Original used kJ/g values (inflated REF by 4.187×)</t>
  </si>
  <si>
    <t xml:space="preserve">REP conversion</t>
  </si>
  <si>
    <t xml:space="preserve">23.6 kJ/g → 5.64 kcal/g</t>
  </si>
  <si>
    <t xml:space="preserve">Original used kJ/g values (inflated REP by 4.187×)</t>
  </si>
  <si>
    <t xml:space="preserve">Table 4.5 Fat %</t>
  </si>
  <si>
    <t xml:space="preserve">Raw grams reported as %</t>
  </si>
  <si>
    <t xml:space="preserve">Fat% = Carc_Fat(g)/BEF(g)×100</t>
  </si>
  <si>
    <t xml:space="preserve">Table 4.1 MEI</t>
  </si>
  <si>
    <t xml:space="preserve">631.03→650.84 kcal (Ref)</t>
  </si>
  <si>
    <t xml:space="preserve">ME recalculated from bomb calorimeter data</t>
  </si>
  <si>
    <t xml:space="preserve">Model exponents d,e</t>
  </si>
  <si>
    <t xml:space="preserve">–0.80,–0.02 → +1.62,+0.50</t>
  </si>
  <si>
    <t xml:space="preserve">Original implied RE decreases with BW — biologically invalid</t>
  </si>
  <si>
    <t xml:space="preserve">% difference formula</t>
  </si>
  <si>
    <t xml:space="preserve">÷Model → ÷CST</t>
  </si>
  <si>
    <t xml:space="preserve">CST is the reference method; denominator must be CST</t>
  </si>
  <si>
    <t xml:space="preserve">KEY REFERENCES</t>
  </si>
  <si>
    <t xml:space="preserve">van der Klein et al. (2020)</t>
  </si>
  <si>
    <t xml:space="preserve">Poultry Science 99(6):3237-3250</t>
  </si>
  <si>
    <t xml:space="preserve">Model structure, starting values, methodology</t>
  </si>
  <si>
    <t xml:space="preserve">Larbier &amp; Leclercq (1992)</t>
  </si>
  <si>
    <t xml:space="preserve">Nutrition and Feeding of Poultry</t>
  </si>
  <si>
    <t xml:space="preserve">REF/REP conversion factors</t>
  </si>
  <si>
    <t xml:space="preserve">Pinheiro &amp; Bates (2000)</t>
  </si>
  <si>
    <t xml:space="preserve">Mixed-Effects Models in S and S-PLUS</t>
  </si>
  <si>
    <t xml:space="preserve">nlme R package methodology</t>
  </si>
  <si>
    <t xml:space="preserve">Barzegar et al. (2019)</t>
  </si>
  <si>
    <t xml:space="preserve">Various journals</t>
  </si>
  <si>
    <t xml:space="preserve">Reference diet substitution approach</t>
  </si>
  <si>
    <t xml:space="preserve">AOAC (1990)</t>
  </si>
  <si>
    <t xml:space="preserve">Official Methods of Analysis</t>
  </si>
  <si>
    <t xml:space="preserve">Bomb calorimetry, proximate analysis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</si>
</sst>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0"/>
    <numFmt numFmtId="167" formatCode="0.000"/>
    <numFmt numFmtId="168" formatCode="0"/>
    <numFmt numFmtId="169" formatCode="0.0000"/>
    <numFmt numFmtId="170" formatCode="0.4\f"/>
    <numFmt numFmtId="171" formatCode="0.2\f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F9C4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595959"/>
      </patternFill>
    </fill>
    <fill>
      <patternFill patternType="solid">
        <fgColor rgb="FFEBF3FB"/>
        <bgColor rgb="FFF0F0F0"/>
      </patternFill>
    </fill>
    <fill>
      <patternFill patternType="solid">
        <fgColor rgb="FFF0F0F0"/>
        <bgColor rgb="FFF5F5F5"/>
      </patternFill>
    </fill>
    <fill>
      <patternFill patternType="solid">
        <fgColor rgb="FF7F4F24"/>
        <bgColor rgb="FF595959"/>
      </patternFill>
    </fill>
    <fill>
      <patternFill patternType="solid">
        <fgColor rgb="FFC9D6E3"/>
        <bgColor rgb="FFDEEAF1"/>
      </patternFill>
    </fill>
    <fill>
      <patternFill patternType="solid">
        <fgColor rgb="FFF5F5F5"/>
        <bgColor rgb="FFF0F0F0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F0F0"/>
      <rgbColor rgb="FF808080"/>
      <rgbColor rgb="FF9999FF"/>
      <rgbColor rgb="FF993366"/>
      <rgbColor rgb="FFFFF9C4"/>
      <rgbColor rgb="FFEBF3FB"/>
      <rgbColor rgb="FF660066"/>
      <rgbColor rgb="FFFF8080"/>
      <rgbColor rgb="FF0066CC"/>
      <rgbColor rgb="FFC9D6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5F5F5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7F4F24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8"/>
    <col collapsed="false" customWidth="true" hidden="false" outlineLevel="0" max="7" min="7" style="1" width="11"/>
    <col collapsed="false" customWidth="true" hidden="false" outlineLevel="0" max="9" min="8" style="1" width="9"/>
    <col collapsed="false" customWidth="true" hidden="false" outlineLevel="0" max="11" min="10" style="1" width="10"/>
    <col collapsed="false" customWidth="true" hidden="false" outlineLevel="0" max="12" min="12" style="1" width="14"/>
    <col collapsed="false" customWidth="true" hidden="false" outlineLevel="0" max="13" min="13" style="1" width="15"/>
    <col collapsed="false" customWidth="true" hidden="false" outlineLevel="0" max="14" min="14" style="1" width="13"/>
    <col collapsed="false" customWidth="true" hidden="false" outlineLevel="0" max="15" min="15" style="1" width="15"/>
    <col collapsed="false" customWidth="true" hidden="false" outlineLevel="0" max="16" min="16" style="1" width="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customFormat="false" ht="15" hidden="false" customHeight="true" outlineLevel="0" collapsed="false">
      <c r="A4" s="5" t="s">
        <v>18</v>
      </c>
      <c r="B4" s="6" t="s">
        <v>19</v>
      </c>
      <c r="C4" s="5" t="s">
        <v>20</v>
      </c>
      <c r="D4" s="7" t="n">
        <v>4271</v>
      </c>
      <c r="E4" s="7" t="n">
        <v>1273.5</v>
      </c>
      <c r="F4" s="8" t="n">
        <v>2.18216043307087</v>
      </c>
      <c r="G4" s="8" t="n">
        <v>58.6361408667647</v>
      </c>
      <c r="H4" s="7" t="n">
        <v>15.63</v>
      </c>
      <c r="I4" s="8" t="n">
        <v>156.3</v>
      </c>
      <c r="J4" s="9" t="n">
        <v>50</v>
      </c>
      <c r="K4" s="9" t="n">
        <v>132</v>
      </c>
      <c r="L4" s="7" t="n">
        <v>2242</v>
      </c>
      <c r="M4" s="7" t="n">
        <v>2186.5</v>
      </c>
      <c r="N4" s="10" t="n">
        <v>9.480384</v>
      </c>
      <c r="O4" s="10" t="n">
        <v>36.2998062015504</v>
      </c>
      <c r="P4" s="11" t="n">
        <v>3</v>
      </c>
    </row>
    <row r="5" customFormat="false" ht="15" hidden="false" customHeight="true" outlineLevel="0" collapsed="false">
      <c r="A5" s="5" t="s">
        <v>21</v>
      </c>
      <c r="B5" s="6" t="s">
        <v>19</v>
      </c>
      <c r="C5" s="5" t="s">
        <v>20</v>
      </c>
      <c r="D5" s="7" t="n">
        <v>4323.5</v>
      </c>
      <c r="E5" s="7" t="n">
        <v>1301.25</v>
      </c>
      <c r="F5" s="8" t="n">
        <v>2.58064971751412</v>
      </c>
      <c r="G5" s="8" t="n">
        <v>101.499710000829</v>
      </c>
      <c r="H5" s="7" t="n">
        <v>14.08</v>
      </c>
      <c r="I5" s="8" t="n">
        <v>152.425</v>
      </c>
      <c r="J5" s="9" t="n">
        <v>49</v>
      </c>
      <c r="K5" s="9" t="n">
        <v>130</v>
      </c>
      <c r="L5" s="7" t="n">
        <v>2234</v>
      </c>
      <c r="M5" s="7" t="n">
        <v>2198.25</v>
      </c>
      <c r="N5" s="10" t="n">
        <v>8.06156</v>
      </c>
      <c r="O5" s="10" t="n">
        <v>17.2224852071006</v>
      </c>
      <c r="P5" s="11" t="n">
        <v>3</v>
      </c>
    </row>
    <row r="6" customFormat="false" ht="15" hidden="false" customHeight="true" outlineLevel="0" collapsed="false">
      <c r="A6" s="5" t="s">
        <v>22</v>
      </c>
      <c r="B6" s="6" t="s">
        <v>19</v>
      </c>
      <c r="C6" s="5" t="s">
        <v>20</v>
      </c>
      <c r="D6" s="7" t="n">
        <v>4322</v>
      </c>
      <c r="E6" s="7" t="n">
        <v>1267.25</v>
      </c>
      <c r="F6" s="8" t="n">
        <v>2.23</v>
      </c>
      <c r="G6" s="8" t="n">
        <v>116.044522212501</v>
      </c>
      <c r="H6" s="7" t="n">
        <v>19.02</v>
      </c>
      <c r="I6" s="8" t="n">
        <v>148.55</v>
      </c>
      <c r="J6" s="9" t="n">
        <v>48</v>
      </c>
      <c r="K6" s="9" t="n">
        <v>113</v>
      </c>
      <c r="L6" s="7" t="n">
        <v>2241</v>
      </c>
      <c r="M6" s="7" t="n">
        <v>2205.5</v>
      </c>
      <c r="N6" s="10" t="n">
        <v>8.513295</v>
      </c>
      <c r="O6" s="10" t="n">
        <v>15.3518048780488</v>
      </c>
      <c r="P6" s="11" t="n">
        <v>3</v>
      </c>
    </row>
    <row r="7" customFormat="false" ht="15" hidden="false" customHeight="true" outlineLevel="0" collapsed="false">
      <c r="A7" s="5" t="s">
        <v>23</v>
      </c>
      <c r="B7" s="6" t="s">
        <v>24</v>
      </c>
      <c r="C7" s="5" t="s">
        <v>20</v>
      </c>
      <c r="D7" s="7" t="n">
        <v>4316.5</v>
      </c>
      <c r="E7" s="7" t="n">
        <v>1267.75</v>
      </c>
      <c r="F7" s="8" t="n">
        <v>1.6964530332681</v>
      </c>
      <c r="G7" s="8" t="n">
        <v>37.5580028834854</v>
      </c>
      <c r="H7" s="7" t="n">
        <v>9.78</v>
      </c>
      <c r="I7" s="8" t="n">
        <v>144.675</v>
      </c>
      <c r="J7" s="9" t="n">
        <v>46</v>
      </c>
      <c r="K7" s="9" t="n">
        <v>123</v>
      </c>
      <c r="L7" s="7" t="n">
        <v>2229</v>
      </c>
      <c r="M7" s="7" t="n">
        <v>2188.25</v>
      </c>
      <c r="N7" s="10" t="n">
        <v>8.65712</v>
      </c>
      <c r="O7" s="10" t="n">
        <v>11.0870544090056</v>
      </c>
      <c r="P7" s="11" t="n">
        <v>3</v>
      </c>
    </row>
    <row r="8" customFormat="false" ht="15" hidden="false" customHeight="true" outlineLevel="0" collapsed="false">
      <c r="A8" s="5" t="s">
        <v>25</v>
      </c>
      <c r="B8" s="6" t="s">
        <v>24</v>
      </c>
      <c r="C8" s="5" t="s">
        <v>20</v>
      </c>
      <c r="D8" s="7" t="n">
        <v>4310</v>
      </c>
      <c r="E8" s="7" t="n">
        <v>1272</v>
      </c>
      <c r="F8" s="8" t="n">
        <v>2.73152492668622</v>
      </c>
      <c r="G8" s="8" t="n">
        <v>58.6600245469641</v>
      </c>
      <c r="H8" s="7" t="n">
        <v>16.4</v>
      </c>
      <c r="I8" s="8" t="n">
        <v>140.8</v>
      </c>
      <c r="J8" s="9" t="n">
        <v>46</v>
      </c>
      <c r="K8" s="9" t="n">
        <v>148</v>
      </c>
      <c r="L8" s="7" t="n">
        <v>2189</v>
      </c>
      <c r="M8" s="7" t="n">
        <v>2178</v>
      </c>
      <c r="N8" s="10" t="n">
        <v>6.220181</v>
      </c>
      <c r="O8" s="10" t="n">
        <v>16.9945504087193</v>
      </c>
      <c r="P8" s="11" t="n">
        <v>3</v>
      </c>
    </row>
    <row r="9" customFormat="false" ht="15" hidden="false" customHeight="true" outlineLevel="0" collapsed="false">
      <c r="A9" s="5" t="s">
        <v>26</v>
      </c>
      <c r="B9" s="6" t="s">
        <v>24</v>
      </c>
      <c r="C9" s="5" t="s">
        <v>20</v>
      </c>
      <c r="D9" s="7" t="n">
        <v>4308</v>
      </c>
      <c r="E9" s="7" t="n">
        <v>1286</v>
      </c>
      <c r="F9" s="8" t="n">
        <v>1.88</v>
      </c>
      <c r="G9" s="8" t="n">
        <v>105.777298333933</v>
      </c>
      <c r="H9" s="7" t="n">
        <v>17.73</v>
      </c>
      <c r="I9" s="8" t="n">
        <v>140.8</v>
      </c>
      <c r="J9" s="9" t="n">
        <v>42</v>
      </c>
      <c r="K9" s="9" t="n">
        <v>123</v>
      </c>
      <c r="L9" s="7" t="n">
        <v>2218</v>
      </c>
      <c r="M9" s="7" t="n">
        <v>2232.5</v>
      </c>
      <c r="N9" s="10" t="n">
        <v>8.439909</v>
      </c>
      <c r="O9" s="10" t="n">
        <v>16.3232142857143</v>
      </c>
      <c r="P9" s="11" t="n">
        <v>3</v>
      </c>
    </row>
    <row r="10" customFormat="false" ht="15" hidden="false" customHeight="true" outlineLevel="0" collapsed="false">
      <c r="A10" s="5" t="s">
        <v>27</v>
      </c>
      <c r="B10" s="6" t="s">
        <v>28</v>
      </c>
      <c r="C10" s="5" t="s">
        <v>20</v>
      </c>
      <c r="D10" s="7" t="n">
        <v>4299.5</v>
      </c>
      <c r="E10" s="7" t="n">
        <v>1268.75</v>
      </c>
      <c r="F10" s="8" t="n">
        <v>2.15410557184751</v>
      </c>
      <c r="G10" s="8" t="n">
        <v>55.6657848324515</v>
      </c>
      <c r="H10" s="7" t="n">
        <v>16.7</v>
      </c>
      <c r="I10" s="8" t="n">
        <v>153.15</v>
      </c>
      <c r="J10" s="9" t="n">
        <v>50</v>
      </c>
      <c r="K10" s="9" t="n">
        <v>151</v>
      </c>
      <c r="L10" s="7" t="n">
        <v>2226</v>
      </c>
      <c r="M10" s="7" t="n">
        <v>2184.25</v>
      </c>
      <c r="N10" s="10" t="n">
        <v>6.626094</v>
      </c>
      <c r="O10" s="10" t="n">
        <v>19.988503468781</v>
      </c>
      <c r="P10" s="11" t="n">
        <v>3</v>
      </c>
    </row>
    <row r="11" customFormat="false" ht="15" hidden="false" customHeight="true" outlineLevel="0" collapsed="false">
      <c r="A11" s="5" t="s">
        <v>29</v>
      </c>
      <c r="B11" s="6" t="s">
        <v>28</v>
      </c>
      <c r="C11" s="5" t="s">
        <v>20</v>
      </c>
      <c r="D11" s="7" t="n">
        <v>4268</v>
      </c>
      <c r="E11" s="7" t="n">
        <v>1292.75</v>
      </c>
      <c r="F11" s="8" t="n">
        <v>2.36142460684551</v>
      </c>
      <c r="G11" s="8" t="n">
        <v>42.7849774567429</v>
      </c>
      <c r="H11" s="7" t="n">
        <v>12.07</v>
      </c>
      <c r="I11" s="8" t="n">
        <v>165.5</v>
      </c>
      <c r="J11" s="9" t="n">
        <v>49</v>
      </c>
      <c r="K11" s="9" t="n">
        <v>128</v>
      </c>
      <c r="L11" s="7" t="n">
        <v>2224</v>
      </c>
      <c r="M11" s="7" t="n">
        <v>2227.5</v>
      </c>
      <c r="N11" s="10" t="n">
        <v>7.411308</v>
      </c>
      <c r="O11" s="10" t="n">
        <v>9.46539196940727</v>
      </c>
      <c r="P11" s="11" t="n">
        <v>3</v>
      </c>
    </row>
    <row r="12" customFormat="false" ht="15" hidden="false" customHeight="true" outlineLevel="0" collapsed="false">
      <c r="A12" s="5" t="s">
        <v>30</v>
      </c>
      <c r="B12" s="6" t="s">
        <v>28</v>
      </c>
      <c r="C12" s="5" t="s">
        <v>20</v>
      </c>
      <c r="D12" s="7" t="n">
        <v>4269</v>
      </c>
      <c r="E12" s="7" t="n">
        <v>1266.75</v>
      </c>
      <c r="F12" s="8" t="n">
        <v>2.25</v>
      </c>
      <c r="G12" s="8" t="n">
        <v>118.08910359635</v>
      </c>
      <c r="H12" s="7" t="n">
        <v>12.37</v>
      </c>
      <c r="I12" s="8" t="n">
        <v>177.85</v>
      </c>
      <c r="J12" s="9" t="n">
        <v>48</v>
      </c>
      <c r="K12" s="9" t="n">
        <v>115</v>
      </c>
      <c r="L12" s="7" t="n">
        <v>2242</v>
      </c>
      <c r="M12" s="7" t="n">
        <v>2214.25</v>
      </c>
      <c r="N12" s="10" t="n">
        <v>8.483268</v>
      </c>
      <c r="O12" s="10" t="n">
        <v>17.4561307901907</v>
      </c>
      <c r="P12" s="11" t="n">
        <v>3</v>
      </c>
    </row>
    <row r="13" customFormat="false" ht="15" hidden="false" customHeight="true" outlineLevel="0" collapsed="false">
      <c r="A13" s="5" t="s">
        <v>31</v>
      </c>
      <c r="B13" s="6" t="s">
        <v>32</v>
      </c>
      <c r="C13" s="5" t="s">
        <v>20</v>
      </c>
      <c r="D13" s="7" t="n">
        <v>4305</v>
      </c>
      <c r="E13" s="7" t="n">
        <v>1276.5</v>
      </c>
      <c r="F13" s="8" t="n">
        <v>1.91438356164384</v>
      </c>
      <c r="G13" s="8" t="n">
        <v>51.192304487065</v>
      </c>
      <c r="H13" s="7" t="n">
        <v>13.89</v>
      </c>
      <c r="I13" s="8" t="n">
        <v>190.2</v>
      </c>
      <c r="J13" s="9" t="n">
        <v>46</v>
      </c>
      <c r="K13" s="9" t="n">
        <v>143</v>
      </c>
      <c r="L13" s="7" t="n">
        <v>2226</v>
      </c>
      <c r="M13" s="7" t="n">
        <v>2206.25</v>
      </c>
      <c r="N13" s="10" t="n">
        <v>3.9936</v>
      </c>
      <c r="O13" s="10" t="n">
        <v>16.8254377880184</v>
      </c>
      <c r="P13" s="11" t="n">
        <v>3</v>
      </c>
    </row>
    <row r="14" customFormat="false" ht="15" hidden="false" customHeight="true" outlineLevel="0" collapsed="false">
      <c r="A14" s="5" t="s">
        <v>33</v>
      </c>
      <c r="B14" s="6" t="s">
        <v>32</v>
      </c>
      <c r="C14" s="5" t="s">
        <v>20</v>
      </c>
      <c r="D14" s="7" t="n">
        <v>4313</v>
      </c>
      <c r="E14" s="7" t="n">
        <v>1267</v>
      </c>
      <c r="F14" s="8" t="n">
        <v>2.84</v>
      </c>
      <c r="G14" s="8" t="n">
        <v>61.7283950617284</v>
      </c>
      <c r="H14" s="7" t="n">
        <v>13.68</v>
      </c>
      <c r="I14" s="8" t="n">
        <v>190.2</v>
      </c>
      <c r="J14" s="9" t="n">
        <v>46</v>
      </c>
      <c r="K14" s="9" t="n">
        <v>120</v>
      </c>
      <c r="L14" s="7" t="n">
        <v>2174</v>
      </c>
      <c r="M14" s="7" t="n">
        <v>2187</v>
      </c>
      <c r="N14" s="10" t="n">
        <v>4.563991</v>
      </c>
      <c r="O14" s="10" t="n">
        <v>16.4154738878143</v>
      </c>
      <c r="P14" s="11" t="n">
        <v>3</v>
      </c>
    </row>
    <row r="15" customFormat="false" ht="15" hidden="false" customHeight="true" outlineLevel="0" collapsed="false">
      <c r="A15" s="5" t="s">
        <v>34</v>
      </c>
      <c r="B15" s="6" t="s">
        <v>32</v>
      </c>
      <c r="C15" s="5" t="s">
        <v>20</v>
      </c>
      <c r="D15" s="7" t="n">
        <v>4311</v>
      </c>
      <c r="E15" s="7" t="n">
        <v>1283.75</v>
      </c>
      <c r="F15" s="8" t="n">
        <v>2.32</v>
      </c>
      <c r="G15" s="8" t="n">
        <v>60.9401149676199</v>
      </c>
      <c r="H15" s="7" t="n">
        <v>18.43</v>
      </c>
      <c r="I15" s="8" t="n">
        <v>190.2</v>
      </c>
      <c r="J15" s="9" t="n">
        <v>42</v>
      </c>
      <c r="K15" s="9" t="n">
        <v>141</v>
      </c>
      <c r="L15" s="7" t="n">
        <v>2162</v>
      </c>
      <c r="M15" s="7" t="n">
        <v>2226</v>
      </c>
      <c r="N15" s="10" t="n">
        <v>4.540581</v>
      </c>
      <c r="O15" s="10" t="n">
        <v>12.0948616600791</v>
      </c>
      <c r="P15" s="11" t="n">
        <v>3</v>
      </c>
    </row>
    <row r="16" customFormat="false" ht="15" hidden="false" customHeight="true" outlineLevel="0" collapsed="false">
      <c r="A16" s="5" t="s">
        <v>35</v>
      </c>
      <c r="B16" s="6" t="s">
        <v>36</v>
      </c>
      <c r="C16" s="5" t="s">
        <v>20</v>
      </c>
      <c r="D16" s="7" t="n">
        <v>4290</v>
      </c>
      <c r="E16" s="7" t="n">
        <v>1275.5</v>
      </c>
      <c r="F16" s="8" t="n">
        <v>2.25197740112994</v>
      </c>
      <c r="G16" s="8" t="n">
        <v>45.5471652882656</v>
      </c>
      <c r="H16" s="7" t="n">
        <v>16.4</v>
      </c>
      <c r="I16" s="8" t="n">
        <v>167.1</v>
      </c>
      <c r="J16" s="9" t="n">
        <v>50</v>
      </c>
      <c r="K16" s="9" t="n">
        <v>144</v>
      </c>
      <c r="L16" s="7" t="n">
        <v>2238</v>
      </c>
      <c r="M16" s="7" t="n">
        <v>2222</v>
      </c>
      <c r="N16" s="10" t="n">
        <v>3.7183</v>
      </c>
      <c r="O16" s="10" t="n">
        <v>15.848717948718</v>
      </c>
      <c r="P16" s="11" t="n">
        <v>3</v>
      </c>
    </row>
    <row r="17" customFormat="false" ht="15" hidden="false" customHeight="true" outlineLevel="0" collapsed="false">
      <c r="A17" s="5" t="s">
        <v>37</v>
      </c>
      <c r="B17" s="6" t="s">
        <v>36</v>
      </c>
      <c r="C17" s="5" t="s">
        <v>20</v>
      </c>
      <c r="D17" s="7" t="n">
        <v>4284.5</v>
      </c>
      <c r="E17" s="7" t="n">
        <v>1283.75</v>
      </c>
      <c r="F17" s="8" t="n">
        <v>3.19275362318841</v>
      </c>
      <c r="G17" s="8" t="n">
        <v>50.9100165457554</v>
      </c>
      <c r="H17" s="7" t="n">
        <v>15.5</v>
      </c>
      <c r="I17" s="8" t="n">
        <v>144</v>
      </c>
      <c r="J17" s="9" t="n">
        <v>49</v>
      </c>
      <c r="K17" s="9" t="n">
        <v>118</v>
      </c>
      <c r="L17" s="7" t="n">
        <v>2232</v>
      </c>
      <c r="M17" s="7" t="n">
        <v>2198.5</v>
      </c>
      <c r="N17" s="10" t="n">
        <v>2.714426</v>
      </c>
      <c r="O17" s="10" t="n">
        <v>13.5291828793774</v>
      </c>
      <c r="P17" s="11" t="n">
        <v>3</v>
      </c>
    </row>
    <row r="18" customFormat="false" ht="15" hidden="false" customHeight="true" outlineLevel="0" collapsed="false">
      <c r="A18" s="5" t="s">
        <v>38</v>
      </c>
      <c r="B18" s="6" t="s">
        <v>36</v>
      </c>
      <c r="C18" s="5" t="s">
        <v>20</v>
      </c>
      <c r="D18" s="7" t="n">
        <v>4283</v>
      </c>
      <c r="E18" s="7" t="n">
        <v>1252</v>
      </c>
      <c r="F18" s="8" t="n">
        <v>2.87</v>
      </c>
      <c r="G18" s="8" t="n">
        <v>120.438136073532</v>
      </c>
      <c r="H18" s="7" t="n">
        <v>13.7</v>
      </c>
      <c r="I18" s="8" t="n">
        <v>120.9</v>
      </c>
      <c r="J18" s="9" t="n">
        <v>48</v>
      </c>
      <c r="K18" s="9" t="n">
        <v>172</v>
      </c>
      <c r="L18" s="7" t="n">
        <v>2238</v>
      </c>
      <c r="M18" s="7" t="n">
        <v>2208.75</v>
      </c>
      <c r="N18" s="10" t="n">
        <v>4.500625</v>
      </c>
      <c r="O18" s="10" t="n">
        <v>21.7090203685742</v>
      </c>
      <c r="P18" s="11" t="n">
        <v>3</v>
      </c>
    </row>
    <row r="19" customFormat="false" ht="15" hidden="false" customHeight="true" outlineLevel="0" collapsed="false">
      <c r="A19" s="12" t="s">
        <v>39</v>
      </c>
      <c r="B19" s="13" t="s">
        <v>40</v>
      </c>
      <c r="C19" s="12" t="s">
        <v>41</v>
      </c>
      <c r="D19" s="14" t="n">
        <v>4257.5</v>
      </c>
      <c r="E19" s="14" t="n">
        <v>1269</v>
      </c>
      <c r="F19" s="15" t="n">
        <v>2.58259943181818</v>
      </c>
      <c r="G19" s="15" t="n">
        <v>46.1680517082179</v>
      </c>
      <c r="H19" s="14" t="n">
        <v>14.27</v>
      </c>
      <c r="I19" s="15" t="n">
        <v>97.8</v>
      </c>
      <c r="J19" s="16" t="n">
        <v>46</v>
      </c>
      <c r="K19" s="16" t="n">
        <v>144</v>
      </c>
      <c r="L19" s="14" t="n">
        <v>2231</v>
      </c>
      <c r="M19" s="14" t="n">
        <v>2201.5</v>
      </c>
      <c r="N19" s="17" t="n">
        <v>3.623928</v>
      </c>
      <c r="O19" s="17" t="n">
        <v>32.6108262108262</v>
      </c>
      <c r="P19" s="18" t="n">
        <v>3</v>
      </c>
    </row>
    <row r="20" customFormat="false" ht="15" hidden="false" customHeight="true" outlineLevel="0" collapsed="false">
      <c r="A20" s="12" t="s">
        <v>42</v>
      </c>
      <c r="B20" s="13" t="s">
        <v>40</v>
      </c>
      <c r="C20" s="12" t="s">
        <v>41</v>
      </c>
      <c r="D20" s="14" t="n">
        <v>4314.5</v>
      </c>
      <c r="E20" s="14" t="n">
        <v>1270.5</v>
      </c>
      <c r="F20" s="15" t="n">
        <v>2.25859598853868</v>
      </c>
      <c r="G20" s="15" t="n">
        <v>113.831540846791</v>
      </c>
      <c r="H20" s="14" t="n">
        <v>12.82</v>
      </c>
      <c r="I20" s="15" t="n">
        <v>97.8</v>
      </c>
      <c r="J20" s="16" t="n">
        <v>46</v>
      </c>
      <c r="K20" s="16" t="n">
        <v>142</v>
      </c>
      <c r="L20" s="14" t="n">
        <v>2192</v>
      </c>
      <c r="M20" s="14" t="n">
        <v>2177.75</v>
      </c>
      <c r="N20" s="17" t="n">
        <v>3.44900239453842</v>
      </c>
      <c r="O20" s="17" t="n">
        <v>9.95252918287938</v>
      </c>
      <c r="P20" s="18" t="n">
        <v>3</v>
      </c>
    </row>
    <row r="21" customFormat="false" ht="15" hidden="false" customHeight="true" outlineLevel="0" collapsed="false">
      <c r="A21" s="12" t="s">
        <v>43</v>
      </c>
      <c r="B21" s="13" t="s">
        <v>40</v>
      </c>
      <c r="C21" s="12" t="s">
        <v>41</v>
      </c>
      <c r="D21" s="14" t="n">
        <v>4313</v>
      </c>
      <c r="E21" s="14" t="n">
        <v>1278</v>
      </c>
      <c r="F21" s="15" t="n">
        <v>2.35</v>
      </c>
      <c r="G21" s="15" t="n">
        <v>112.260953764222</v>
      </c>
      <c r="H21" s="14" t="n">
        <v>12.17</v>
      </c>
      <c r="I21" s="15" t="n">
        <v>97.8</v>
      </c>
      <c r="J21" s="16" t="n">
        <v>42</v>
      </c>
      <c r="K21" s="16" t="n">
        <v>122</v>
      </c>
      <c r="L21" s="14" t="n">
        <v>2222</v>
      </c>
      <c r="M21" s="14" t="n">
        <v>2184.5</v>
      </c>
      <c r="N21" s="17" t="n">
        <v>3.33647453581318</v>
      </c>
      <c r="O21" s="17" t="n">
        <v>11.3683802133851</v>
      </c>
      <c r="P21" s="18" t="n">
        <v>3</v>
      </c>
    </row>
    <row r="22" customFormat="false" ht="15" hidden="false" customHeight="true" outlineLevel="0" collapsed="false">
      <c r="A22" s="12" t="s">
        <v>44</v>
      </c>
      <c r="B22" s="13" t="s">
        <v>45</v>
      </c>
      <c r="C22" s="12" t="s">
        <v>41</v>
      </c>
      <c r="D22" s="14" t="n">
        <v>4257.5</v>
      </c>
      <c r="E22" s="14" t="n">
        <v>1264</v>
      </c>
      <c r="F22" s="15" t="n">
        <v>2.52148700673725</v>
      </c>
      <c r="G22" s="15" t="n">
        <v>43.3423883036286</v>
      </c>
      <c r="H22" s="14" t="n">
        <v>13.77</v>
      </c>
      <c r="I22" s="15" t="n">
        <v>114.35</v>
      </c>
      <c r="J22" s="16" t="n">
        <v>50</v>
      </c>
      <c r="K22" s="16" t="n">
        <v>166</v>
      </c>
      <c r="L22" s="14" t="n">
        <v>2231</v>
      </c>
      <c r="M22" s="14" t="n">
        <v>2212.25</v>
      </c>
      <c r="N22" s="17" t="n">
        <v>10.3179767289693</v>
      </c>
      <c r="O22" s="17" t="n">
        <v>28.5364705882353</v>
      </c>
      <c r="P22" s="18" t="n">
        <v>3</v>
      </c>
    </row>
    <row r="23" customFormat="false" ht="15" hidden="false" customHeight="true" outlineLevel="0" collapsed="false">
      <c r="A23" s="12" t="s">
        <v>46</v>
      </c>
      <c r="B23" s="13" t="s">
        <v>45</v>
      </c>
      <c r="C23" s="12" t="s">
        <v>41</v>
      </c>
      <c r="D23" s="14" t="n">
        <v>4285</v>
      </c>
      <c r="E23" s="14" t="n">
        <v>1269.5</v>
      </c>
      <c r="F23" s="15" t="n">
        <v>5.12965451055662</v>
      </c>
      <c r="G23" s="15" t="n">
        <v>40.8272701790306</v>
      </c>
      <c r="H23" s="14" t="n">
        <v>12.63</v>
      </c>
      <c r="I23" s="15" t="n">
        <v>130.9</v>
      </c>
      <c r="J23" s="16" t="n">
        <v>49</v>
      </c>
      <c r="K23" s="16" t="n">
        <v>85</v>
      </c>
      <c r="L23" s="14" t="n">
        <v>2221</v>
      </c>
      <c r="M23" s="14" t="n">
        <v>2227</v>
      </c>
      <c r="N23" s="17" t="n">
        <v>12.0380170393433</v>
      </c>
      <c r="O23" s="17" t="n">
        <v>17.058913250715</v>
      </c>
      <c r="P23" s="18" t="n">
        <v>3</v>
      </c>
    </row>
    <row r="24" customFormat="false" ht="15" hidden="false" customHeight="true" outlineLevel="0" collapsed="false">
      <c r="A24" s="12" t="s">
        <v>47</v>
      </c>
      <c r="B24" s="13" t="s">
        <v>45</v>
      </c>
      <c r="C24" s="12" t="s">
        <v>41</v>
      </c>
      <c r="D24" s="14" t="n">
        <v>4283</v>
      </c>
      <c r="E24" s="19" t="n">
        <f aca="false">AVERAGE(E22,E23)</f>
        <v>1266.75</v>
      </c>
      <c r="F24" s="15" t="n">
        <v>2.98</v>
      </c>
      <c r="G24" s="15" t="n">
        <v>105.064034039699</v>
      </c>
      <c r="H24" s="14" t="n">
        <v>16.7</v>
      </c>
      <c r="I24" s="15" t="n">
        <v>147.45</v>
      </c>
      <c r="J24" s="16" t="n">
        <v>48</v>
      </c>
      <c r="K24" s="16" t="n">
        <v>128</v>
      </c>
      <c r="L24" s="14" t="n">
        <v>2239</v>
      </c>
      <c r="M24" s="14" t="n">
        <v>2205</v>
      </c>
      <c r="N24" s="17" t="n">
        <v>12.7661765220915</v>
      </c>
      <c r="O24" s="17" t="n">
        <v>14.5185185185185</v>
      </c>
      <c r="P24" s="18" t="n">
        <v>3</v>
      </c>
    </row>
    <row r="25" customFormat="false" ht="15" hidden="false" customHeight="true" outlineLevel="0" collapsed="false">
      <c r="A25" s="12" t="s">
        <v>48</v>
      </c>
      <c r="B25" s="13" t="s">
        <v>49</v>
      </c>
      <c r="C25" s="12" t="s">
        <v>41</v>
      </c>
      <c r="D25" s="14" t="n">
        <v>4300.5</v>
      </c>
      <c r="E25" s="14" t="n">
        <v>1287.5</v>
      </c>
      <c r="F25" s="15" t="n">
        <v>2.70415512465374</v>
      </c>
      <c r="G25" s="15" t="n">
        <v>39.0341321713871</v>
      </c>
      <c r="H25" s="14" t="n">
        <v>16.7</v>
      </c>
      <c r="I25" s="15" t="n">
        <v>164</v>
      </c>
      <c r="J25" s="16" t="n">
        <v>46</v>
      </c>
      <c r="K25" s="16" t="n">
        <v>139</v>
      </c>
      <c r="L25" s="14" t="n">
        <v>2229</v>
      </c>
      <c r="M25" s="14" t="n">
        <v>2210</v>
      </c>
      <c r="N25" s="17" t="n">
        <v>8.57326688295483</v>
      </c>
      <c r="O25" s="17" t="n">
        <v>17.1310344827586</v>
      </c>
      <c r="P25" s="18" t="n">
        <v>3</v>
      </c>
    </row>
    <row r="26" customFormat="false" ht="15" hidden="false" customHeight="true" outlineLevel="0" collapsed="false">
      <c r="A26" s="12" t="s">
        <v>50</v>
      </c>
      <c r="B26" s="13" t="s">
        <v>49</v>
      </c>
      <c r="C26" s="12" t="s">
        <v>41</v>
      </c>
      <c r="D26" s="14" t="n">
        <v>4271</v>
      </c>
      <c r="E26" s="14" t="n">
        <v>1297.5</v>
      </c>
      <c r="F26" s="15" t="n">
        <v>2.73212277413308</v>
      </c>
      <c r="G26" s="15" t="n">
        <v>110.166824047844</v>
      </c>
      <c r="H26" s="14" t="n">
        <v>13.03</v>
      </c>
      <c r="I26" s="15" t="n">
        <v>164</v>
      </c>
      <c r="J26" s="16" t="n">
        <v>46</v>
      </c>
      <c r="K26" s="16" t="n">
        <v>123</v>
      </c>
      <c r="L26" s="14" t="n">
        <v>2177</v>
      </c>
      <c r="M26" s="14" t="n">
        <v>2202.75</v>
      </c>
      <c r="N26" s="17" t="n">
        <v>8.96601763954067</v>
      </c>
      <c r="O26" s="17" t="n">
        <v>14.2132075471698</v>
      </c>
      <c r="P26" s="18" t="n">
        <v>3</v>
      </c>
    </row>
    <row r="27" customFormat="false" ht="15" hidden="false" customHeight="true" outlineLevel="0" collapsed="false">
      <c r="A27" s="12" t="s">
        <v>51</v>
      </c>
      <c r="B27" s="13" t="s">
        <v>49</v>
      </c>
      <c r="C27" s="12" t="s">
        <v>41</v>
      </c>
      <c r="D27" s="14" t="n">
        <v>4269</v>
      </c>
      <c r="E27" s="14" t="n">
        <v>1302.75</v>
      </c>
      <c r="F27" s="15" t="n">
        <v>2.35</v>
      </c>
      <c r="G27" s="15" t="n">
        <v>81.3802083333333</v>
      </c>
      <c r="H27" s="14" t="n">
        <v>14.83</v>
      </c>
      <c r="I27" s="15" t="n">
        <v>164</v>
      </c>
      <c r="J27" s="16" t="n">
        <v>42</v>
      </c>
      <c r="K27" s="16" t="n">
        <v>141</v>
      </c>
      <c r="L27" s="14" t="n">
        <v>2165</v>
      </c>
      <c r="M27" s="14" t="n">
        <v>2165</v>
      </c>
      <c r="N27" s="17" t="n">
        <v>9.23440551823368</v>
      </c>
      <c r="O27" s="17" t="n">
        <v>14.4571952337305</v>
      </c>
      <c r="P27" s="18" t="n">
        <v>3</v>
      </c>
    </row>
    <row r="28" customFormat="false" ht="15" hidden="false" customHeight="true" outlineLevel="0" collapsed="false">
      <c r="A28" s="20" t="s">
        <v>52</v>
      </c>
      <c r="B28" s="21" t="s">
        <v>53</v>
      </c>
      <c r="C28" s="20" t="s">
        <v>54</v>
      </c>
      <c r="D28" s="22" t="n">
        <v>4284.5</v>
      </c>
      <c r="E28" s="22" t="n">
        <v>1283.5</v>
      </c>
      <c r="F28" s="23" t="n">
        <v>1.56420118343195</v>
      </c>
      <c r="G28" s="23" t="n">
        <v>48.5008818342152</v>
      </c>
      <c r="H28" s="22" t="n">
        <v>16.58</v>
      </c>
      <c r="I28" s="23" t="n">
        <v>167.325</v>
      </c>
      <c r="J28" s="24" t="n">
        <v>50</v>
      </c>
      <c r="K28" s="24" t="n">
        <v>144</v>
      </c>
      <c r="L28" s="22" t="n">
        <v>2240</v>
      </c>
      <c r="M28" s="22" t="n">
        <v>2187.25</v>
      </c>
      <c r="N28" s="25" t="n">
        <v>6.05827142316904</v>
      </c>
      <c r="O28" s="25" t="n">
        <v>10.8823880597015</v>
      </c>
      <c r="P28" s="26" t="n">
        <v>3</v>
      </c>
    </row>
    <row r="29" customFormat="false" ht="15" hidden="false" customHeight="true" outlineLevel="0" collapsed="false">
      <c r="A29" s="20" t="s">
        <v>55</v>
      </c>
      <c r="B29" s="21" t="s">
        <v>53</v>
      </c>
      <c r="C29" s="20" t="s">
        <v>54</v>
      </c>
      <c r="D29" s="22" t="n">
        <v>4310</v>
      </c>
      <c r="E29" s="22" t="n">
        <v>1272.25</v>
      </c>
      <c r="F29" s="23" t="n">
        <v>2.31174838112859</v>
      </c>
      <c r="G29" s="23" t="n">
        <v>46.0068492315942</v>
      </c>
      <c r="H29" s="22" t="n">
        <v>12.47</v>
      </c>
      <c r="I29" s="23" t="n">
        <v>170.65</v>
      </c>
      <c r="J29" s="24" t="n">
        <v>49</v>
      </c>
      <c r="K29" s="24" t="n">
        <v>140</v>
      </c>
      <c r="L29" s="22" t="n">
        <v>2233</v>
      </c>
      <c r="M29" s="22" t="n">
        <v>2208.75</v>
      </c>
      <c r="N29" s="25" t="n">
        <v>9.50714330523427</v>
      </c>
      <c r="O29" s="25" t="n">
        <v>11.7374280230326</v>
      </c>
      <c r="P29" s="26" t="n">
        <v>3</v>
      </c>
    </row>
    <row r="30" customFormat="false" ht="15" hidden="false" customHeight="true" outlineLevel="0" collapsed="false">
      <c r="A30" s="20" t="s">
        <v>56</v>
      </c>
      <c r="B30" s="21" t="s">
        <v>53</v>
      </c>
      <c r="C30" s="20" t="s">
        <v>54</v>
      </c>
      <c r="D30" s="22" t="n">
        <v>4309</v>
      </c>
      <c r="E30" s="22" t="n">
        <v>1280.25</v>
      </c>
      <c r="F30" s="23" t="n">
        <v>1.89</v>
      </c>
      <c r="G30" s="23" t="n">
        <v>114.938504982613</v>
      </c>
      <c r="H30" s="22" t="n">
        <v>15.72</v>
      </c>
      <c r="I30" s="23" t="n">
        <v>173.975</v>
      </c>
      <c r="J30" s="24" t="n">
        <v>48</v>
      </c>
      <c r="K30" s="24" t="n">
        <v>129</v>
      </c>
      <c r="L30" s="22" t="n">
        <v>2239.5</v>
      </c>
      <c r="M30" s="22" t="n">
        <v>2175</v>
      </c>
      <c r="N30" s="25" t="n">
        <v>5.99537588278646</v>
      </c>
      <c r="O30" s="25" t="n">
        <v>18.0670391061453</v>
      </c>
      <c r="P30" s="26" t="n">
        <v>3</v>
      </c>
    </row>
    <row r="31" customFormat="false" ht="15" hidden="false" customHeight="true" outlineLevel="0" collapsed="false">
      <c r="A31" s="20" t="s">
        <v>57</v>
      </c>
      <c r="B31" s="21" t="s">
        <v>58</v>
      </c>
      <c r="C31" s="20" t="s">
        <v>54</v>
      </c>
      <c r="D31" s="22" t="n">
        <v>4258</v>
      </c>
      <c r="E31" s="22" t="n">
        <v>1277.25</v>
      </c>
      <c r="F31" s="23" t="n">
        <v>1.72040816326531</v>
      </c>
      <c r="G31" s="23" t="n">
        <v>41.5368639667705</v>
      </c>
      <c r="H31" s="22" t="n">
        <v>10.47</v>
      </c>
      <c r="I31" s="23" t="n">
        <v>177.3</v>
      </c>
      <c r="J31" s="24" t="n">
        <v>46</v>
      </c>
      <c r="K31" s="24" t="n">
        <v>129</v>
      </c>
      <c r="L31" s="22" t="n">
        <v>2230</v>
      </c>
      <c r="M31" s="22" t="n">
        <v>2183.5</v>
      </c>
      <c r="N31" s="25" t="n">
        <v>3.83066906303072</v>
      </c>
      <c r="O31" s="25" t="n">
        <v>10.0793650793651</v>
      </c>
      <c r="P31" s="26" t="n">
        <v>3</v>
      </c>
    </row>
    <row r="32" customFormat="false" ht="15" hidden="false" customHeight="true" outlineLevel="0" collapsed="false">
      <c r="A32" s="20" t="s">
        <v>59</v>
      </c>
      <c r="B32" s="21" t="s">
        <v>58</v>
      </c>
      <c r="C32" s="20" t="s">
        <v>54</v>
      </c>
      <c r="D32" s="22" t="n">
        <v>4274.5</v>
      </c>
      <c r="E32" s="22" t="n">
        <v>1276.5</v>
      </c>
      <c r="F32" s="23" t="n">
        <v>4.05546116504854</v>
      </c>
      <c r="G32" s="23" t="n">
        <v>103.27864937794</v>
      </c>
      <c r="H32" s="22" t="n">
        <v>15.23</v>
      </c>
      <c r="I32" s="23" t="n">
        <v>177.3</v>
      </c>
      <c r="J32" s="24" t="n">
        <v>46</v>
      </c>
      <c r="K32" s="24" t="n">
        <v>131</v>
      </c>
      <c r="L32" s="22" t="n">
        <v>2190.5</v>
      </c>
      <c r="M32" s="22" t="n">
        <v>2219.5</v>
      </c>
      <c r="N32" s="25" t="n">
        <v>3.91260296166079</v>
      </c>
      <c r="O32" s="25" t="n">
        <v>8.16354961832061</v>
      </c>
      <c r="P32" s="26" t="n">
        <v>3</v>
      </c>
    </row>
    <row r="33" customFormat="false" ht="15" hidden="false" customHeight="true" outlineLevel="0" collapsed="false">
      <c r="A33" s="20" t="s">
        <v>60</v>
      </c>
      <c r="B33" s="21" t="s">
        <v>58</v>
      </c>
      <c r="C33" s="20" t="s">
        <v>54</v>
      </c>
      <c r="D33" s="22" t="n">
        <v>4273</v>
      </c>
      <c r="E33" s="22" t="n">
        <v>1279.25</v>
      </c>
      <c r="F33" s="23" t="n">
        <v>3.05</v>
      </c>
      <c r="G33" s="23" t="n">
        <v>77.6833626139854</v>
      </c>
      <c r="H33" s="22" t="n">
        <v>12.25</v>
      </c>
      <c r="I33" s="23" t="n">
        <v>177.3</v>
      </c>
      <c r="J33" s="24" t="n">
        <v>42</v>
      </c>
      <c r="K33" s="24" t="n">
        <v>123</v>
      </c>
      <c r="L33" s="22" t="n">
        <v>2220</v>
      </c>
      <c r="M33" s="22" t="n">
        <v>2201.5</v>
      </c>
      <c r="N33" s="25" t="n">
        <v>4.39693892533413</v>
      </c>
      <c r="O33" s="25" t="n">
        <v>31.8601178781925</v>
      </c>
      <c r="P33" s="26" t="n">
        <v>3</v>
      </c>
    </row>
    <row r="34" customFormat="false" ht="15" hidden="false" customHeight="true" outlineLevel="0" collapsed="false">
      <c r="A34" s="20" t="s">
        <v>61</v>
      </c>
      <c r="B34" s="21" t="s">
        <v>62</v>
      </c>
      <c r="C34" s="20" t="s">
        <v>54</v>
      </c>
      <c r="D34" s="22" t="n">
        <v>4299.5</v>
      </c>
      <c r="E34" s="22" t="n">
        <v>1270.75</v>
      </c>
      <c r="F34" s="23" t="n">
        <v>3.20065666041276</v>
      </c>
      <c r="G34" s="23" t="n">
        <v>53.2246815695775</v>
      </c>
      <c r="H34" s="22" t="n">
        <v>13.9</v>
      </c>
      <c r="I34" s="23" t="n">
        <v>174.725</v>
      </c>
      <c r="J34" s="24" t="n">
        <v>50</v>
      </c>
      <c r="K34" s="24" t="n">
        <v>126</v>
      </c>
      <c r="L34" s="22" t="n">
        <v>2228.5</v>
      </c>
      <c r="M34" s="22" t="n">
        <v>2213.25</v>
      </c>
      <c r="N34" s="25" t="n">
        <v>8.27350001007719</v>
      </c>
      <c r="O34" s="25" t="n">
        <v>20.4094607379376</v>
      </c>
      <c r="P34" s="26" t="n">
        <v>3</v>
      </c>
    </row>
    <row r="35" customFormat="false" ht="15" hidden="false" customHeight="true" outlineLevel="0" collapsed="false">
      <c r="A35" s="20" t="s">
        <v>63</v>
      </c>
      <c r="B35" s="21" t="s">
        <v>62</v>
      </c>
      <c r="C35" s="20" t="s">
        <v>54</v>
      </c>
      <c r="D35" s="22" t="n">
        <v>4302.5</v>
      </c>
      <c r="E35" s="22" t="n">
        <v>1283.75</v>
      </c>
      <c r="F35" s="23" t="n">
        <v>2.59040642722117</v>
      </c>
      <c r="G35" s="23" t="n">
        <v>76.5343040666155</v>
      </c>
      <c r="H35" s="22" t="n">
        <v>12.47</v>
      </c>
      <c r="I35" s="23" t="n">
        <v>172.15</v>
      </c>
      <c r="J35" s="24" t="n">
        <v>49</v>
      </c>
      <c r="K35" s="24" t="n">
        <v>138</v>
      </c>
      <c r="L35" s="22" t="n">
        <v>2222.5</v>
      </c>
      <c r="M35" s="22" t="n">
        <v>2195.75</v>
      </c>
      <c r="N35" s="25" t="n">
        <v>8.74510490892739</v>
      </c>
      <c r="O35" s="25" t="n">
        <v>11.9317399617591</v>
      </c>
      <c r="P35" s="26" t="n">
        <v>3</v>
      </c>
    </row>
    <row r="36" customFormat="false" ht="15" hidden="false" customHeight="true" outlineLevel="0" collapsed="false">
      <c r="A36" s="20" t="s">
        <v>64</v>
      </c>
      <c r="B36" s="21" t="s">
        <v>62</v>
      </c>
      <c r="C36" s="20" t="s">
        <v>54</v>
      </c>
      <c r="D36" s="22" t="n">
        <v>4301</v>
      </c>
      <c r="E36" s="22" t="n">
        <v>1278.25</v>
      </c>
      <c r="F36" s="23" t="n">
        <v>2.87</v>
      </c>
      <c r="G36" s="23" t="n">
        <v>51.0304461167675</v>
      </c>
      <c r="H36" s="22" t="n">
        <v>12.15</v>
      </c>
      <c r="I36" s="23" t="n">
        <v>169.575</v>
      </c>
      <c r="J36" s="24" t="n">
        <v>48</v>
      </c>
      <c r="K36" s="24" t="n">
        <v>126</v>
      </c>
      <c r="L36" s="22" t="n">
        <v>2240.5</v>
      </c>
      <c r="M36" s="22" t="n">
        <v>2193</v>
      </c>
      <c r="N36" s="25" t="n">
        <v>6.28344596772194</v>
      </c>
      <c r="O36" s="25" t="n">
        <v>17.428684470821</v>
      </c>
      <c r="P36" s="26" t="n">
        <v>3</v>
      </c>
    </row>
    <row r="37" customFormat="false" ht="15" hidden="false" customHeight="true" outlineLevel="0" collapsed="false">
      <c r="A37" s="20" t="s">
        <v>65</v>
      </c>
      <c r="B37" s="21" t="s">
        <v>66</v>
      </c>
      <c r="C37" s="20" t="s">
        <v>54</v>
      </c>
      <c r="D37" s="22" t="n">
        <v>4303.5</v>
      </c>
      <c r="E37" s="22" t="n">
        <v>1271.75</v>
      </c>
      <c r="F37" s="23" t="n">
        <v>2.58717008797654</v>
      </c>
      <c r="G37" s="23" t="n">
        <v>31.2831685380705</v>
      </c>
      <c r="H37" s="22" t="n">
        <v>13.17</v>
      </c>
      <c r="I37" s="23" t="n">
        <v>167</v>
      </c>
      <c r="J37" s="24" t="n">
        <v>46</v>
      </c>
      <c r="K37" s="24" t="n">
        <v>121</v>
      </c>
      <c r="L37" s="22" t="n">
        <v>2227.5</v>
      </c>
      <c r="M37" s="22" t="n">
        <v>2179.75</v>
      </c>
      <c r="N37" s="25" t="n">
        <v>8.32784191931218</v>
      </c>
      <c r="O37" s="25" t="n">
        <v>16.6726554787759</v>
      </c>
      <c r="P37" s="26" t="n">
        <v>3</v>
      </c>
    </row>
    <row r="38" customFormat="false" ht="15" hidden="false" customHeight="true" outlineLevel="0" collapsed="false">
      <c r="A38" s="20" t="s">
        <v>67</v>
      </c>
      <c r="B38" s="21" t="s">
        <v>66</v>
      </c>
      <c r="C38" s="20" t="s">
        <v>54</v>
      </c>
      <c r="D38" s="22" t="n">
        <v>4320</v>
      </c>
      <c r="E38" s="22" t="n">
        <v>1268.25</v>
      </c>
      <c r="F38" s="23" t="n">
        <v>3.86209519136408</v>
      </c>
      <c r="G38" s="23" t="n">
        <v>20.477207977208</v>
      </c>
      <c r="H38" s="22" t="n">
        <v>13.98</v>
      </c>
      <c r="I38" s="23" t="n">
        <v>167</v>
      </c>
      <c r="J38" s="24" t="n">
        <v>46</v>
      </c>
      <c r="K38" s="24" t="n">
        <v>142</v>
      </c>
      <c r="L38" s="22" t="n">
        <v>2175.5</v>
      </c>
      <c r="M38" s="22" t="n">
        <v>2192.75</v>
      </c>
      <c r="N38" s="25" t="n">
        <v>7.3686798012781</v>
      </c>
      <c r="O38" s="25" t="n">
        <v>15.2236111111111</v>
      </c>
      <c r="P38" s="26" t="n">
        <v>3</v>
      </c>
    </row>
    <row r="39" customFormat="false" ht="15" hidden="false" customHeight="true" outlineLevel="0" collapsed="false">
      <c r="A39" s="20" t="s">
        <v>68</v>
      </c>
      <c r="B39" s="21" t="s">
        <v>66</v>
      </c>
      <c r="C39" s="20" t="s">
        <v>54</v>
      </c>
      <c r="D39" s="22" t="n">
        <v>4318</v>
      </c>
      <c r="E39" s="22" t="n">
        <v>1274</v>
      </c>
      <c r="F39" s="23" t="n">
        <v>2.9</v>
      </c>
      <c r="G39" s="23" t="n">
        <v>97.7214513759909</v>
      </c>
      <c r="H39" s="22" t="n">
        <v>14.27</v>
      </c>
      <c r="I39" s="23" t="n">
        <v>155.425</v>
      </c>
      <c r="J39" s="24" t="n">
        <v>42</v>
      </c>
      <c r="K39" s="24" t="n">
        <v>132</v>
      </c>
      <c r="L39" s="22" t="n">
        <v>2163.5</v>
      </c>
      <c r="M39" s="22" t="n">
        <v>2174</v>
      </c>
      <c r="N39" s="25" t="n">
        <v>8.96191749572761</v>
      </c>
      <c r="O39" s="25" t="n">
        <v>23.6796890184645</v>
      </c>
      <c r="P39" s="26" t="n">
        <v>3</v>
      </c>
    </row>
    <row r="41" customFormat="false" ht="39.75" hidden="false" customHeight="true" outlineLevel="0" collapsed="false">
      <c r="A41" s="27" t="s">
        <v>69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customFormat="false" ht="15" hidden="false" customHeight="true" outlineLevel="0" collapsed="false">
      <c r="A42" s="28" t="s">
        <v>70</v>
      </c>
      <c r="B42" s="28"/>
      <c r="C42" s="28"/>
      <c r="D42" s="28"/>
      <c r="E42" s="28"/>
      <c r="F42" s="29" t="s">
        <v>71</v>
      </c>
      <c r="G42" s="29"/>
      <c r="H42" s="29"/>
      <c r="I42" s="29"/>
      <c r="J42" s="29"/>
      <c r="K42" s="30" t="s">
        <v>72</v>
      </c>
      <c r="L42" s="30"/>
      <c r="M42" s="30"/>
      <c r="N42" s="30"/>
      <c r="O42" s="30"/>
      <c r="P42" s="30"/>
    </row>
  </sheetData>
  <mergeCells count="6">
    <mergeCell ref="A1:P1"/>
    <mergeCell ref="A2:P2"/>
    <mergeCell ref="A41:P41"/>
    <mergeCell ref="A42:E42"/>
    <mergeCell ref="F42:J42"/>
    <mergeCell ref="K42:P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1" min="10" style="1" width="9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8" min="14" style="1" width="9"/>
    <col collapsed="false" customWidth="true" hidden="false" outlineLevel="0" max="19" min="19" style="1" width="14"/>
    <col collapsed="false" customWidth="true" hidden="false" outlineLevel="0" max="20" min="20" style="1" width="15"/>
  </cols>
  <sheetData>
    <row r="1" customFormat="false" ht="21.75" hidden="false" customHeight="true" outlineLevel="0" collapsed="false">
      <c r="A1" s="2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.75" hidden="false" customHeight="true" outlineLevel="0" collapsed="false">
      <c r="A2" s="30" t="s">
        <v>74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customFormat="false" ht="42" hidden="false" customHeight="true" outlineLevel="0" collapsed="false">
      <c r="A3" s="31" t="s">
        <v>75</v>
      </c>
      <c r="B3" s="31" t="s">
        <v>3</v>
      </c>
      <c r="C3" s="31" t="s">
        <v>4</v>
      </c>
      <c r="D3" s="31" t="s">
        <v>76</v>
      </c>
      <c r="E3" s="31" t="s">
        <v>77</v>
      </c>
      <c r="F3" s="31" t="s">
        <v>78</v>
      </c>
      <c r="G3" s="31" t="s">
        <v>79</v>
      </c>
      <c r="H3" s="31" t="s">
        <v>80</v>
      </c>
      <c r="I3" s="31" t="s">
        <v>81</v>
      </c>
      <c r="J3" s="31" t="s">
        <v>82</v>
      </c>
      <c r="K3" s="31" t="s">
        <v>83</v>
      </c>
      <c r="L3" s="31" t="s">
        <v>84</v>
      </c>
      <c r="M3" s="31" t="s">
        <v>85</v>
      </c>
      <c r="N3" s="31" t="s">
        <v>86</v>
      </c>
      <c r="O3" s="31" t="s">
        <v>87</v>
      </c>
      <c r="P3" s="31" t="s">
        <v>88</v>
      </c>
      <c r="Q3" s="31" t="s">
        <v>89</v>
      </c>
      <c r="R3" s="31" t="s">
        <v>90</v>
      </c>
      <c r="S3" s="31" t="s">
        <v>13</v>
      </c>
      <c r="T3" s="31" t="s">
        <v>14</v>
      </c>
    </row>
    <row r="4" customFormat="false" ht="42" hidden="false" customHeight="true" outlineLevel="0" collapsed="false">
      <c r="A4" s="32"/>
      <c r="B4" s="32"/>
      <c r="C4" s="32"/>
      <c r="D4" s="32"/>
      <c r="E4" s="32"/>
      <c r="F4" s="32"/>
      <c r="G4" s="32"/>
      <c r="H4" s="32"/>
      <c r="I4" s="32"/>
      <c r="J4" s="32" t="s">
        <v>91</v>
      </c>
      <c r="K4" s="32" t="s">
        <v>92</v>
      </c>
      <c r="L4" s="32"/>
      <c r="M4" s="32"/>
      <c r="N4" s="32"/>
      <c r="O4" s="32"/>
      <c r="P4" s="32"/>
      <c r="Q4" s="32"/>
      <c r="R4" s="32"/>
      <c r="S4" s="32"/>
      <c r="T4" s="32"/>
    </row>
    <row r="5" customFormat="false" ht="15" hidden="false" customHeight="true" outlineLevel="0" collapsed="false">
      <c r="A5" s="5" t="s">
        <v>18</v>
      </c>
      <c r="B5" s="6" t="s">
        <v>19</v>
      </c>
      <c r="C5" s="5" t="s">
        <v>20</v>
      </c>
      <c r="D5" s="33" t="n">
        <f aca="false">'1. Raw Data'!D4-'1. Raw Data'!E4*('1. Raw Data'!F4/'1. Raw Data'!G4)</f>
        <v>4223.60634021208</v>
      </c>
      <c r="E5" s="33" t="n">
        <f aca="false">D5*'1. Raw Data'!I4/1000</f>
        <v>660.149670975149</v>
      </c>
      <c r="F5" s="33" t="n">
        <f aca="false">('1. Raw Data'!M4*'1. Raw Data'!K4-'1. Raw Data'!L4*'1. Raw Data'!J4)/1000</f>
        <v>176.518</v>
      </c>
      <c r="G5" s="33" t="n">
        <f aca="false">E5-F5</f>
        <v>483.631670975149</v>
      </c>
      <c r="H5" s="33" t="n">
        <f aca="false">'1. Raw Data'!N4*9.13</f>
        <v>86.55590592</v>
      </c>
      <c r="I5" s="33" t="n">
        <f aca="false">'1. Raw Data'!O4*5.64</f>
        <v>204.730906976744</v>
      </c>
      <c r="J5" s="34" t="n">
        <f aca="false">H5/E5</f>
        <v>0.131115578368982</v>
      </c>
      <c r="K5" s="34" t="n">
        <f aca="false">I5/E5</f>
        <v>0.310128014870209</v>
      </c>
      <c r="L5" s="33" t="n">
        <f aca="false">'1. Raw Data'!N4/'1. Raw Data'!K4*100</f>
        <v>7.18210909090909</v>
      </c>
      <c r="M5" s="33" t="n">
        <f aca="false">'1. Raw Data'!O4/'1. Raw Data'!K4*100</f>
        <v>27.4998531829927</v>
      </c>
      <c r="N5" s="11" t="n">
        <f aca="false">'1. Raw Data'!K4-'1. Raw Data'!J4</f>
        <v>82</v>
      </c>
      <c r="O5" s="35" t="n">
        <f aca="false">'1. Raw Data'!J4</f>
        <v>50</v>
      </c>
      <c r="P5" s="35" t="n">
        <f aca="false">'1. Raw Data'!K4</f>
        <v>132</v>
      </c>
      <c r="Q5" s="36" t="n">
        <f aca="false">'1. Raw Data'!I4</f>
        <v>156.3</v>
      </c>
      <c r="R5" s="36" t="n">
        <f aca="false">'1. Raw Data'!H4</f>
        <v>15.63</v>
      </c>
      <c r="S5" s="36" t="n">
        <f aca="false">'1. Raw Data'!L4</f>
        <v>2242</v>
      </c>
      <c r="T5" s="36" t="n">
        <f aca="false">'1. Raw Data'!M4</f>
        <v>2186.5</v>
      </c>
    </row>
    <row r="6" customFormat="false" ht="15" hidden="false" customHeight="true" outlineLevel="0" collapsed="false">
      <c r="A6" s="5" t="s">
        <v>21</v>
      </c>
      <c r="B6" s="6" t="s">
        <v>19</v>
      </c>
      <c r="C6" s="5" t="s">
        <v>20</v>
      </c>
      <c r="D6" s="33" t="n">
        <f aca="false">'1. Raw Data'!D5-'1. Raw Data'!E5*('1. Raw Data'!F5/'1. Raw Data'!G5)</f>
        <v>4290.4154675921</v>
      </c>
      <c r="E6" s="33" t="n">
        <f aca="false">D6*'1. Raw Data'!I5/1000</f>
        <v>653.966577647725</v>
      </c>
      <c r="F6" s="33" t="n">
        <f aca="false">('1. Raw Data'!M5*'1. Raw Data'!K5-'1. Raw Data'!L5*'1. Raw Data'!J5)/1000</f>
        <v>176.3065</v>
      </c>
      <c r="G6" s="33" t="n">
        <f aca="false">E6-F6</f>
        <v>477.660077647725</v>
      </c>
      <c r="H6" s="33" t="n">
        <f aca="false">'1. Raw Data'!N5*9.13</f>
        <v>73.6020428</v>
      </c>
      <c r="I6" s="33" t="n">
        <f aca="false">'1. Raw Data'!O5*5.64</f>
        <v>97.1348165680474</v>
      </c>
      <c r="J6" s="34" t="n">
        <f aca="false">H6/E6</f>
        <v>0.11254710151204</v>
      </c>
      <c r="K6" s="34" t="n">
        <f aca="false">I6/E6</f>
        <v>0.148531774999014</v>
      </c>
      <c r="L6" s="33" t="n">
        <f aca="false">'1. Raw Data'!N5/'1. Raw Data'!K5*100</f>
        <v>6.2012</v>
      </c>
      <c r="M6" s="33" t="n">
        <f aca="false">'1. Raw Data'!O5/'1. Raw Data'!K5*100</f>
        <v>13.2480655439235</v>
      </c>
      <c r="N6" s="11" t="n">
        <f aca="false">'1. Raw Data'!K5-'1. Raw Data'!J5</f>
        <v>81</v>
      </c>
      <c r="O6" s="35" t="n">
        <f aca="false">'1. Raw Data'!J5</f>
        <v>49</v>
      </c>
      <c r="P6" s="35" t="n">
        <f aca="false">'1. Raw Data'!K5</f>
        <v>130</v>
      </c>
      <c r="Q6" s="36" t="n">
        <f aca="false">'1. Raw Data'!I5</f>
        <v>152.425</v>
      </c>
      <c r="R6" s="36" t="n">
        <f aca="false">'1. Raw Data'!H5</f>
        <v>14.08</v>
      </c>
      <c r="S6" s="36" t="n">
        <f aca="false">'1. Raw Data'!L5</f>
        <v>2234</v>
      </c>
      <c r="T6" s="36" t="n">
        <f aca="false">'1. Raw Data'!M5</f>
        <v>2198.25</v>
      </c>
    </row>
    <row r="7" customFormat="false" ht="15" hidden="false" customHeight="true" outlineLevel="0" collapsed="false">
      <c r="A7" s="5" t="s">
        <v>22</v>
      </c>
      <c r="B7" s="6" t="s">
        <v>19</v>
      </c>
      <c r="C7" s="5" t="s">
        <v>20</v>
      </c>
      <c r="D7" s="33" t="n">
        <f aca="false">'1. Raw Data'!D6-'1. Raw Data'!E6*('1. Raw Data'!F6/'1. Raw Data'!G6)</f>
        <v>4297.64755797068</v>
      </c>
      <c r="E7" s="33" t="n">
        <f aca="false">D7*'1. Raw Data'!I6/1000</f>
        <v>638.415544736545</v>
      </c>
      <c r="F7" s="33" t="n">
        <f aca="false">('1. Raw Data'!M6*'1. Raw Data'!K6-'1. Raw Data'!L6*'1. Raw Data'!J6)/1000</f>
        <v>141.6535</v>
      </c>
      <c r="G7" s="33" t="n">
        <f aca="false">E7-F7</f>
        <v>496.762044736545</v>
      </c>
      <c r="H7" s="33" t="n">
        <f aca="false">'1. Raw Data'!N6*9.13</f>
        <v>77.72638335</v>
      </c>
      <c r="I7" s="33" t="n">
        <f aca="false">'1. Raw Data'!O6*5.64</f>
        <v>86.5841795121952</v>
      </c>
      <c r="J7" s="34" t="n">
        <f aca="false">H7/E7</f>
        <v>0.121748889090844</v>
      </c>
      <c r="K7" s="34" t="n">
        <f aca="false">I7/E7</f>
        <v>0.135623545237963</v>
      </c>
      <c r="L7" s="33" t="n">
        <f aca="false">'1. Raw Data'!N6/'1. Raw Data'!K6*100</f>
        <v>7.53388938053097</v>
      </c>
      <c r="M7" s="33" t="n">
        <f aca="false">'1. Raw Data'!O6/'1. Raw Data'!K6*100</f>
        <v>13.5856680336715</v>
      </c>
      <c r="N7" s="11" t="n">
        <f aca="false">'1. Raw Data'!K6-'1. Raw Data'!J6</f>
        <v>65</v>
      </c>
      <c r="O7" s="35" t="n">
        <f aca="false">'1. Raw Data'!J6</f>
        <v>48</v>
      </c>
      <c r="P7" s="35" t="n">
        <f aca="false">'1. Raw Data'!K6</f>
        <v>113</v>
      </c>
      <c r="Q7" s="36" t="n">
        <f aca="false">'1. Raw Data'!I6</f>
        <v>148.55</v>
      </c>
      <c r="R7" s="36" t="n">
        <f aca="false">'1. Raw Data'!H6</f>
        <v>19.02</v>
      </c>
      <c r="S7" s="36" t="n">
        <f aca="false">'1. Raw Data'!L6</f>
        <v>2241</v>
      </c>
      <c r="T7" s="36" t="n">
        <f aca="false">'1. Raw Data'!M6</f>
        <v>2205.5</v>
      </c>
    </row>
    <row r="8" customFormat="false" ht="15" hidden="false" customHeight="true" outlineLevel="0" collapsed="false">
      <c r="A8" s="5" t="s">
        <v>23</v>
      </c>
      <c r="B8" s="6" t="s">
        <v>24</v>
      </c>
      <c r="C8" s="5" t="s">
        <v>20</v>
      </c>
      <c r="D8" s="33" t="n">
        <f aca="false">'1. Raw Data'!D7-'1. Raw Data'!E7*('1. Raw Data'!F7/'1. Raw Data'!G7)</f>
        <v>4259.23714873505</v>
      </c>
      <c r="E8" s="33" t="n">
        <f aca="false">D8*'1. Raw Data'!I7/1000</f>
        <v>616.205134493243</v>
      </c>
      <c r="F8" s="33" t="n">
        <f aca="false">('1. Raw Data'!M7*'1. Raw Data'!K7-'1. Raw Data'!L7*'1. Raw Data'!J7)/1000</f>
        <v>166.62075</v>
      </c>
      <c r="G8" s="33" t="n">
        <f aca="false">E8-F8</f>
        <v>449.584384493243</v>
      </c>
      <c r="H8" s="33" t="n">
        <f aca="false">'1. Raw Data'!N7*9.13</f>
        <v>79.0395056</v>
      </c>
      <c r="I8" s="33" t="n">
        <f aca="false">'1. Raw Data'!O7*5.64</f>
        <v>62.5309868667916</v>
      </c>
      <c r="J8" s="34" t="n">
        <f aca="false">H8/E8</f>
        <v>0.12826817106125</v>
      </c>
      <c r="K8" s="34" t="n">
        <f aca="false">I8/E8</f>
        <v>0.101477549222656</v>
      </c>
      <c r="L8" s="33" t="n">
        <f aca="false">'1. Raw Data'!N7/'1. Raw Data'!K7*100</f>
        <v>7.03830894308943</v>
      </c>
      <c r="M8" s="33" t="n">
        <f aca="false">'1. Raw Data'!O7/'1. Raw Data'!K7*100</f>
        <v>9.01386537317528</v>
      </c>
      <c r="N8" s="11" t="n">
        <f aca="false">'1. Raw Data'!K7-'1. Raw Data'!J7</f>
        <v>77</v>
      </c>
      <c r="O8" s="35" t="n">
        <f aca="false">'1. Raw Data'!J7</f>
        <v>46</v>
      </c>
      <c r="P8" s="35" t="n">
        <f aca="false">'1. Raw Data'!K7</f>
        <v>123</v>
      </c>
      <c r="Q8" s="36" t="n">
        <f aca="false">'1. Raw Data'!I7</f>
        <v>144.675</v>
      </c>
      <c r="R8" s="36" t="n">
        <f aca="false">'1. Raw Data'!H7</f>
        <v>9.78</v>
      </c>
      <c r="S8" s="36" t="n">
        <f aca="false">'1. Raw Data'!L7</f>
        <v>2229</v>
      </c>
      <c r="T8" s="36" t="n">
        <f aca="false">'1. Raw Data'!M7</f>
        <v>2188.25</v>
      </c>
    </row>
    <row r="9" customFormat="false" ht="15" hidden="false" customHeight="true" outlineLevel="0" collapsed="false">
      <c r="A9" s="5" t="s">
        <v>25</v>
      </c>
      <c r="B9" s="6" t="s">
        <v>24</v>
      </c>
      <c r="C9" s="5" t="s">
        <v>20</v>
      </c>
      <c r="D9" s="33" t="n">
        <f aca="false">'1. Raw Data'!D8-'1. Raw Data'!E8*('1. Raw Data'!F8/'1. Raw Data'!G8)</f>
        <v>4250.76886715308</v>
      </c>
      <c r="E9" s="33" t="n">
        <f aca="false">D9*'1. Raw Data'!I8/1000</f>
        <v>598.508256495154</v>
      </c>
      <c r="F9" s="33" t="n">
        <f aca="false">('1. Raw Data'!M8*'1. Raw Data'!K8-'1. Raw Data'!L8*'1. Raw Data'!J8)/1000</f>
        <v>221.65</v>
      </c>
      <c r="G9" s="33" t="n">
        <f aca="false">E9-F9</f>
        <v>376.858256495154</v>
      </c>
      <c r="H9" s="33" t="n">
        <f aca="false">'1. Raw Data'!N8*9.13</f>
        <v>56.79025253</v>
      </c>
      <c r="I9" s="33" t="n">
        <f aca="false">'1. Raw Data'!O8*5.64</f>
        <v>95.8492643051769</v>
      </c>
      <c r="J9" s="34" t="n">
        <f aca="false">H9/E9</f>
        <v>0.0948863309966048</v>
      </c>
      <c r="K9" s="34" t="n">
        <f aca="false">I9/E9</f>
        <v>0.160146937431519</v>
      </c>
      <c r="L9" s="33" t="n">
        <f aca="false">'1. Raw Data'!N8/'1. Raw Data'!K8*100</f>
        <v>4.202825</v>
      </c>
      <c r="M9" s="33" t="n">
        <f aca="false">'1. Raw Data'!O8/'1. Raw Data'!K8*100</f>
        <v>11.4828043302157</v>
      </c>
      <c r="N9" s="11" t="n">
        <f aca="false">'1. Raw Data'!K8-'1. Raw Data'!J8</f>
        <v>102</v>
      </c>
      <c r="O9" s="35" t="n">
        <f aca="false">'1. Raw Data'!J8</f>
        <v>46</v>
      </c>
      <c r="P9" s="35" t="n">
        <f aca="false">'1. Raw Data'!K8</f>
        <v>148</v>
      </c>
      <c r="Q9" s="36" t="n">
        <f aca="false">'1. Raw Data'!I8</f>
        <v>140.8</v>
      </c>
      <c r="R9" s="36" t="n">
        <f aca="false">'1. Raw Data'!H8</f>
        <v>16.4</v>
      </c>
      <c r="S9" s="36" t="n">
        <f aca="false">'1. Raw Data'!L8</f>
        <v>2189</v>
      </c>
      <c r="T9" s="36" t="n">
        <f aca="false">'1. Raw Data'!M8</f>
        <v>2178</v>
      </c>
    </row>
    <row r="10" customFormat="false" ht="15" hidden="false" customHeight="true" outlineLevel="0" collapsed="false">
      <c r="A10" s="5" t="s">
        <v>26</v>
      </c>
      <c r="B10" s="6" t="s">
        <v>24</v>
      </c>
      <c r="C10" s="5" t="s">
        <v>20</v>
      </c>
      <c r="D10" s="33" t="n">
        <f aca="false">'1. Raw Data'!D9-'1. Raw Data'!E9*('1. Raw Data'!F9/'1. Raw Data'!G9)</f>
        <v>4285.14367791501</v>
      </c>
      <c r="E10" s="33" t="n">
        <f aca="false">D10*'1. Raw Data'!I9/1000</f>
        <v>603.348229850434</v>
      </c>
      <c r="F10" s="33" t="n">
        <f aca="false">('1. Raw Data'!M9*'1. Raw Data'!K9-'1. Raw Data'!L9*'1. Raw Data'!J9)/1000</f>
        <v>181.4415</v>
      </c>
      <c r="G10" s="33" t="n">
        <f aca="false">E10-F10</f>
        <v>421.906729850434</v>
      </c>
      <c r="H10" s="33" t="n">
        <f aca="false">'1. Raw Data'!N9*9.13</f>
        <v>77.05636917</v>
      </c>
      <c r="I10" s="33" t="n">
        <f aca="false">'1. Raw Data'!O9*5.64</f>
        <v>92.0629285714286</v>
      </c>
      <c r="J10" s="34" t="n">
        <f aca="false">H10/E10</f>
        <v>0.127714585636726</v>
      </c>
      <c r="K10" s="34" t="n">
        <f aca="false">I10/E10</f>
        <v>0.152586721923839</v>
      </c>
      <c r="L10" s="33" t="n">
        <f aca="false">'1. Raw Data'!N9/'1. Raw Data'!K9*100</f>
        <v>6.86171463414634</v>
      </c>
      <c r="M10" s="33" t="n">
        <f aca="false">'1. Raw Data'!O9/'1. Raw Data'!K9*100</f>
        <v>13.270905923345</v>
      </c>
      <c r="N10" s="11" t="n">
        <f aca="false">'1. Raw Data'!K9-'1. Raw Data'!J9</f>
        <v>81</v>
      </c>
      <c r="O10" s="35" t="n">
        <f aca="false">'1. Raw Data'!J9</f>
        <v>42</v>
      </c>
      <c r="P10" s="35" t="n">
        <f aca="false">'1. Raw Data'!K9</f>
        <v>123</v>
      </c>
      <c r="Q10" s="36" t="n">
        <f aca="false">'1. Raw Data'!I9</f>
        <v>140.8</v>
      </c>
      <c r="R10" s="36" t="n">
        <f aca="false">'1. Raw Data'!H9</f>
        <v>17.73</v>
      </c>
      <c r="S10" s="36" t="n">
        <f aca="false">'1. Raw Data'!L9</f>
        <v>2218</v>
      </c>
      <c r="T10" s="36" t="n">
        <f aca="false">'1. Raw Data'!M9</f>
        <v>2232.5</v>
      </c>
    </row>
    <row r="11" customFormat="false" ht="15" hidden="false" customHeight="true" outlineLevel="0" collapsed="false">
      <c r="A11" s="5" t="s">
        <v>27</v>
      </c>
      <c r="B11" s="6" t="s">
        <v>28</v>
      </c>
      <c r="C11" s="5" t="s">
        <v>20</v>
      </c>
      <c r="D11" s="33" t="n">
        <f aca="false">'1. Raw Data'!D10-'1. Raw Data'!E10*('1. Raw Data'!F10/'1. Raw Data'!G10)</f>
        <v>4250.40302862867</v>
      </c>
      <c r="E11" s="33" t="n">
        <f aca="false">D11*'1. Raw Data'!I10/1000</f>
        <v>650.949223834481</v>
      </c>
      <c r="F11" s="33" t="n">
        <f aca="false">('1. Raw Data'!M10*'1. Raw Data'!K10-'1. Raw Data'!L10*'1. Raw Data'!J10)/1000</f>
        <v>218.52175</v>
      </c>
      <c r="G11" s="33" t="n">
        <f aca="false">E11-F11</f>
        <v>432.427473834481</v>
      </c>
      <c r="H11" s="33" t="n">
        <f aca="false">'1. Raw Data'!N10*9.13</f>
        <v>60.49623822</v>
      </c>
      <c r="I11" s="33" t="n">
        <f aca="false">'1. Raw Data'!O10*5.64</f>
        <v>112.735159563925</v>
      </c>
      <c r="J11" s="34" t="n">
        <f aca="false">H11/E11</f>
        <v>0.0929354180094738</v>
      </c>
      <c r="K11" s="34" t="n">
        <f aca="false">I11/E11</f>
        <v>0.173185796120698</v>
      </c>
      <c r="L11" s="33" t="n">
        <f aca="false">'1. Raw Data'!N10/'1. Raw Data'!K10*100</f>
        <v>4.38814172185431</v>
      </c>
      <c r="M11" s="33" t="n">
        <f aca="false">'1. Raw Data'!O10/'1. Raw Data'!K10*100</f>
        <v>13.237419515749</v>
      </c>
      <c r="N11" s="11" t="n">
        <f aca="false">'1. Raw Data'!K10-'1. Raw Data'!J10</f>
        <v>101</v>
      </c>
      <c r="O11" s="35" t="n">
        <f aca="false">'1. Raw Data'!J10</f>
        <v>50</v>
      </c>
      <c r="P11" s="35" t="n">
        <f aca="false">'1. Raw Data'!K10</f>
        <v>151</v>
      </c>
      <c r="Q11" s="36" t="n">
        <f aca="false">'1. Raw Data'!I10</f>
        <v>153.15</v>
      </c>
      <c r="R11" s="36" t="n">
        <f aca="false">'1. Raw Data'!H10</f>
        <v>16.7</v>
      </c>
      <c r="S11" s="36" t="n">
        <f aca="false">'1. Raw Data'!L10</f>
        <v>2226</v>
      </c>
      <c r="T11" s="36" t="n">
        <f aca="false">'1. Raw Data'!M10</f>
        <v>2184.25</v>
      </c>
    </row>
    <row r="12" customFormat="false" ht="15" hidden="false" customHeight="true" outlineLevel="0" collapsed="false">
      <c r="A12" s="5" t="s">
        <v>29</v>
      </c>
      <c r="B12" s="6" t="s">
        <v>28</v>
      </c>
      <c r="C12" s="5" t="s">
        <v>20</v>
      </c>
      <c r="D12" s="33" t="n">
        <f aca="false">'1. Raw Data'!D11-'1. Raw Data'!E11*('1. Raw Data'!F11/'1. Raw Data'!G11)</f>
        <v>4196.64945029863</v>
      </c>
      <c r="E12" s="33" t="n">
        <f aca="false">D12*'1. Raw Data'!I11/1000</f>
        <v>694.545484024422</v>
      </c>
      <c r="F12" s="33" t="n">
        <f aca="false">('1. Raw Data'!M11*'1. Raw Data'!K11-'1. Raw Data'!L11*'1. Raw Data'!J11)/1000</f>
        <v>176.144</v>
      </c>
      <c r="G12" s="33" t="n">
        <f aca="false">E12-F12</f>
        <v>518.401484024422</v>
      </c>
      <c r="H12" s="33" t="n">
        <f aca="false">'1. Raw Data'!N11*9.13</f>
        <v>67.66524204</v>
      </c>
      <c r="I12" s="33" t="n">
        <f aca="false">'1. Raw Data'!O11*5.64</f>
        <v>53.384810707457</v>
      </c>
      <c r="J12" s="34" t="n">
        <f aca="false">H12/E12</f>
        <v>0.0974237736712729</v>
      </c>
      <c r="K12" s="34" t="n">
        <f aca="false">I12/E12</f>
        <v>0.076862944091333</v>
      </c>
      <c r="L12" s="33" t="n">
        <f aca="false">'1. Raw Data'!N11/'1. Raw Data'!K11*100</f>
        <v>5.790084375</v>
      </c>
      <c r="M12" s="33" t="n">
        <f aca="false">'1. Raw Data'!O11/'1. Raw Data'!K11*100</f>
        <v>7.39483747609943</v>
      </c>
      <c r="N12" s="11" t="n">
        <f aca="false">'1. Raw Data'!K11-'1. Raw Data'!J11</f>
        <v>79</v>
      </c>
      <c r="O12" s="35" t="n">
        <f aca="false">'1. Raw Data'!J11</f>
        <v>49</v>
      </c>
      <c r="P12" s="35" t="n">
        <f aca="false">'1. Raw Data'!K11</f>
        <v>128</v>
      </c>
      <c r="Q12" s="36" t="n">
        <f aca="false">'1. Raw Data'!I11</f>
        <v>165.5</v>
      </c>
      <c r="R12" s="36" t="n">
        <f aca="false">'1. Raw Data'!H11</f>
        <v>12.07</v>
      </c>
      <c r="S12" s="36" t="n">
        <f aca="false">'1. Raw Data'!L11</f>
        <v>2224</v>
      </c>
      <c r="T12" s="36" t="n">
        <f aca="false">'1. Raw Data'!M11</f>
        <v>2227.5</v>
      </c>
    </row>
    <row r="13" customFormat="false" ht="15" hidden="false" customHeight="true" outlineLevel="0" collapsed="false">
      <c r="A13" s="5" t="s">
        <v>30</v>
      </c>
      <c r="B13" s="6" t="s">
        <v>28</v>
      </c>
      <c r="C13" s="5" t="s">
        <v>20</v>
      </c>
      <c r="D13" s="33" t="n">
        <f aca="false">'1. Raw Data'!D12-'1. Raw Data'!E12*('1. Raw Data'!F12/'1. Raw Data'!G12)</f>
        <v>4244.86409403409</v>
      </c>
      <c r="E13" s="33" t="n">
        <f aca="false">D13*'1. Raw Data'!I12/1000</f>
        <v>754.949079123963</v>
      </c>
      <c r="F13" s="33" t="n">
        <f aca="false">('1. Raw Data'!M12*'1. Raw Data'!K12-'1. Raw Data'!L12*'1. Raw Data'!J12)/1000</f>
        <v>147.02275</v>
      </c>
      <c r="G13" s="33" t="n">
        <f aca="false">E13-F13</f>
        <v>607.926329123963</v>
      </c>
      <c r="H13" s="33" t="n">
        <f aca="false">'1. Raw Data'!N12*9.13</f>
        <v>77.45223684</v>
      </c>
      <c r="I13" s="33" t="n">
        <f aca="false">'1. Raw Data'!O12*5.64</f>
        <v>98.4525776566755</v>
      </c>
      <c r="J13" s="34" t="n">
        <f aca="false">H13/E13</f>
        <v>0.102592663507683</v>
      </c>
      <c r="K13" s="34" t="n">
        <f aca="false">I13/E13</f>
        <v>0.130409560563898</v>
      </c>
      <c r="L13" s="33" t="n">
        <f aca="false">'1. Raw Data'!N12/'1. Raw Data'!K12*100</f>
        <v>7.3767547826087</v>
      </c>
      <c r="M13" s="33" t="n">
        <f aca="false">'1. Raw Data'!O12/'1. Raw Data'!K12*100</f>
        <v>15.1792441653832</v>
      </c>
      <c r="N13" s="11" t="n">
        <f aca="false">'1. Raw Data'!K12-'1. Raw Data'!J12</f>
        <v>67</v>
      </c>
      <c r="O13" s="35" t="n">
        <f aca="false">'1. Raw Data'!J12</f>
        <v>48</v>
      </c>
      <c r="P13" s="35" t="n">
        <f aca="false">'1. Raw Data'!K12</f>
        <v>115</v>
      </c>
      <c r="Q13" s="36" t="n">
        <f aca="false">'1. Raw Data'!I12</f>
        <v>177.85</v>
      </c>
      <c r="R13" s="36" t="n">
        <f aca="false">'1. Raw Data'!H12</f>
        <v>12.37</v>
      </c>
      <c r="S13" s="36" t="n">
        <f aca="false">'1. Raw Data'!L12</f>
        <v>2242</v>
      </c>
      <c r="T13" s="36" t="n">
        <f aca="false">'1. Raw Data'!M12</f>
        <v>2214.25</v>
      </c>
    </row>
    <row r="14" customFormat="false" ht="15" hidden="false" customHeight="true" outlineLevel="0" collapsed="false">
      <c r="A14" s="5" t="s">
        <v>31</v>
      </c>
      <c r="B14" s="6" t="s">
        <v>32</v>
      </c>
      <c r="C14" s="5" t="s">
        <v>20</v>
      </c>
      <c r="D14" s="33" t="n">
        <f aca="false">'1. Raw Data'!D13-'1. Raw Data'!E13*('1. Raw Data'!F13/'1. Raw Data'!G13)</f>
        <v>4257.26410217466</v>
      </c>
      <c r="E14" s="33" t="n">
        <f aca="false">D14*'1. Raw Data'!I13/1000</f>
        <v>809.73163223362</v>
      </c>
      <c r="F14" s="33" t="n">
        <f aca="false">('1. Raw Data'!M13*'1. Raw Data'!K13-'1. Raw Data'!L13*'1. Raw Data'!J13)/1000</f>
        <v>213.09775</v>
      </c>
      <c r="G14" s="33" t="n">
        <f aca="false">E14-F14</f>
        <v>596.63388223362</v>
      </c>
      <c r="H14" s="33" t="n">
        <f aca="false">'1. Raw Data'!N13*9.13</f>
        <v>36.461568</v>
      </c>
      <c r="I14" s="33" t="n">
        <f aca="false">'1. Raw Data'!O13*5.64</f>
        <v>94.8954691244238</v>
      </c>
      <c r="J14" s="34" t="n">
        <f aca="false">H14/E14</f>
        <v>0.0450292004764861</v>
      </c>
      <c r="K14" s="34" t="n">
        <f aca="false">I14/E14</f>
        <v>0.117193728572339</v>
      </c>
      <c r="L14" s="33" t="n">
        <f aca="false">'1. Raw Data'!N13/'1. Raw Data'!K13*100</f>
        <v>2.79272727272727</v>
      </c>
      <c r="M14" s="33" t="n">
        <f aca="false">'1. Raw Data'!O13/'1. Raw Data'!K13*100</f>
        <v>11.7660404112017</v>
      </c>
      <c r="N14" s="11" t="n">
        <f aca="false">'1. Raw Data'!K13-'1. Raw Data'!J13</f>
        <v>97</v>
      </c>
      <c r="O14" s="35" t="n">
        <f aca="false">'1. Raw Data'!J13</f>
        <v>46</v>
      </c>
      <c r="P14" s="35" t="n">
        <f aca="false">'1. Raw Data'!K13</f>
        <v>143</v>
      </c>
      <c r="Q14" s="36" t="n">
        <f aca="false">'1. Raw Data'!I13</f>
        <v>190.2</v>
      </c>
      <c r="R14" s="36" t="n">
        <f aca="false">'1. Raw Data'!H13</f>
        <v>13.89</v>
      </c>
      <c r="S14" s="36" t="n">
        <f aca="false">'1. Raw Data'!L13</f>
        <v>2226</v>
      </c>
      <c r="T14" s="36" t="n">
        <f aca="false">'1. Raw Data'!M13</f>
        <v>2206.25</v>
      </c>
    </row>
    <row r="15" customFormat="false" ht="15" hidden="false" customHeight="true" outlineLevel="0" collapsed="false">
      <c r="A15" s="5" t="s">
        <v>33</v>
      </c>
      <c r="B15" s="6" t="s">
        <v>32</v>
      </c>
      <c r="C15" s="5" t="s">
        <v>20</v>
      </c>
      <c r="D15" s="33" t="n">
        <f aca="false">'1. Raw Data'!D14-'1. Raw Data'!E14*('1. Raw Data'!F14/'1. Raw Data'!G14)</f>
        <v>4254.707864</v>
      </c>
      <c r="E15" s="33" t="n">
        <f aca="false">D15*'1. Raw Data'!I14/1000</f>
        <v>809.2454357328</v>
      </c>
      <c r="F15" s="33" t="n">
        <f aca="false">('1. Raw Data'!M14*'1. Raw Data'!K14-'1. Raw Data'!L14*'1. Raw Data'!J14)/1000</f>
        <v>162.436</v>
      </c>
      <c r="G15" s="33" t="n">
        <f aca="false">E15-F15</f>
        <v>646.8094357328</v>
      </c>
      <c r="H15" s="33" t="n">
        <f aca="false">'1. Raw Data'!N14*9.13</f>
        <v>41.66923783</v>
      </c>
      <c r="I15" s="33" t="n">
        <f aca="false">'1. Raw Data'!O14*5.64</f>
        <v>92.5832727272727</v>
      </c>
      <c r="J15" s="34" t="n">
        <f aca="false">H15/E15</f>
        <v>0.0514914709309013</v>
      </c>
      <c r="K15" s="34" t="n">
        <f aca="false">I15/E15</f>
        <v>0.1144069136991</v>
      </c>
      <c r="L15" s="33" t="n">
        <f aca="false">'1. Raw Data'!N14/'1. Raw Data'!K14*100</f>
        <v>3.80332583333333</v>
      </c>
      <c r="M15" s="33" t="n">
        <f aca="false">'1. Raw Data'!O14/'1. Raw Data'!K14*100</f>
        <v>13.6795615731786</v>
      </c>
      <c r="N15" s="11" t="n">
        <f aca="false">'1. Raw Data'!K14-'1. Raw Data'!J14</f>
        <v>74</v>
      </c>
      <c r="O15" s="35" t="n">
        <f aca="false">'1. Raw Data'!J14</f>
        <v>46</v>
      </c>
      <c r="P15" s="35" t="n">
        <f aca="false">'1. Raw Data'!K14</f>
        <v>120</v>
      </c>
      <c r="Q15" s="36" t="n">
        <f aca="false">'1. Raw Data'!I14</f>
        <v>190.2</v>
      </c>
      <c r="R15" s="36" t="n">
        <f aca="false">'1. Raw Data'!H14</f>
        <v>13.68</v>
      </c>
      <c r="S15" s="36" t="n">
        <f aca="false">'1. Raw Data'!L14</f>
        <v>2174</v>
      </c>
      <c r="T15" s="36" t="n">
        <f aca="false">'1. Raw Data'!M14</f>
        <v>2187</v>
      </c>
    </row>
    <row r="16" customFormat="false" ht="15" hidden="false" customHeight="true" outlineLevel="0" collapsed="false">
      <c r="A16" s="5" t="s">
        <v>34</v>
      </c>
      <c r="B16" s="6" t="s">
        <v>32</v>
      </c>
      <c r="C16" s="5" t="s">
        <v>20</v>
      </c>
      <c r="D16" s="33" t="n">
        <f aca="false">'1. Raw Data'!D15-'1. Raw Data'!E15*('1. Raw Data'!F15/'1. Raw Data'!G15)</f>
        <v>4262.12743056716</v>
      </c>
      <c r="E16" s="33" t="n">
        <f aca="false">D16*'1. Raw Data'!I15/1000</f>
        <v>810.656637293875</v>
      </c>
      <c r="F16" s="33" t="n">
        <f aca="false">('1. Raw Data'!M15*'1. Raw Data'!K15-'1. Raw Data'!L15*'1. Raw Data'!J15)/1000</f>
        <v>223.062</v>
      </c>
      <c r="G16" s="33" t="n">
        <f aca="false">E16-F16</f>
        <v>587.594637293875</v>
      </c>
      <c r="H16" s="33" t="n">
        <f aca="false">'1. Raw Data'!N15*9.13</f>
        <v>41.45550453</v>
      </c>
      <c r="I16" s="33" t="n">
        <f aca="false">'1. Raw Data'!O15*5.64</f>
        <v>68.2150197628461</v>
      </c>
      <c r="J16" s="34" t="n">
        <f aca="false">H16/E16</f>
        <v>0.0511381793756557</v>
      </c>
      <c r="K16" s="34" t="n">
        <f aca="false">I16/E16</f>
        <v>0.0841478581987076</v>
      </c>
      <c r="L16" s="33" t="n">
        <f aca="false">'1. Raw Data'!N15/'1. Raw Data'!K15*100</f>
        <v>3.22027021276596</v>
      </c>
      <c r="M16" s="33" t="n">
        <f aca="false">'1. Raw Data'!O15/'1. Raw Data'!K15*100</f>
        <v>8.57791607097809</v>
      </c>
      <c r="N16" s="11" t="n">
        <f aca="false">'1. Raw Data'!K15-'1. Raw Data'!J15</f>
        <v>99</v>
      </c>
      <c r="O16" s="35" t="n">
        <f aca="false">'1. Raw Data'!J15</f>
        <v>42</v>
      </c>
      <c r="P16" s="35" t="n">
        <f aca="false">'1. Raw Data'!K15</f>
        <v>141</v>
      </c>
      <c r="Q16" s="36" t="n">
        <f aca="false">'1. Raw Data'!I15</f>
        <v>190.2</v>
      </c>
      <c r="R16" s="36" t="n">
        <f aca="false">'1. Raw Data'!H15</f>
        <v>18.43</v>
      </c>
      <c r="S16" s="36" t="n">
        <f aca="false">'1. Raw Data'!L15</f>
        <v>2162</v>
      </c>
      <c r="T16" s="36" t="n">
        <f aca="false">'1. Raw Data'!M15</f>
        <v>2226</v>
      </c>
    </row>
    <row r="17" customFormat="false" ht="15" hidden="false" customHeight="true" outlineLevel="0" collapsed="false">
      <c r="A17" s="5" t="s">
        <v>35</v>
      </c>
      <c r="B17" s="6" t="s">
        <v>36</v>
      </c>
      <c r="C17" s="5" t="s">
        <v>20</v>
      </c>
      <c r="D17" s="33" t="n">
        <f aca="false">'1. Raw Data'!D16-'1. Raw Data'!E16*('1. Raw Data'!F16/'1. Raw Data'!G16)</f>
        <v>4226.93576412578</v>
      </c>
      <c r="E17" s="33" t="n">
        <f aca="false">D17*'1. Raw Data'!I16/1000</f>
        <v>706.320966185418</v>
      </c>
      <c r="F17" s="33" t="n">
        <f aca="false">('1. Raw Data'!M16*'1. Raw Data'!K16-'1. Raw Data'!L16*'1. Raw Data'!J16)/1000</f>
        <v>208.068</v>
      </c>
      <c r="G17" s="33" t="n">
        <f aca="false">E17-F17</f>
        <v>498.252966185418</v>
      </c>
      <c r="H17" s="33" t="n">
        <f aca="false">'1. Raw Data'!N16*9.13</f>
        <v>33.948079</v>
      </c>
      <c r="I17" s="33" t="n">
        <f aca="false">'1. Raw Data'!O16*5.64</f>
        <v>89.3867692307695</v>
      </c>
      <c r="J17" s="34" t="n">
        <f aca="false">H17/E17</f>
        <v>0.0480632469164001</v>
      </c>
      <c r="K17" s="34" t="n">
        <f aca="false">I17/E17</f>
        <v>0.126552620565003</v>
      </c>
      <c r="L17" s="33" t="n">
        <f aca="false">'1. Raw Data'!N16/'1. Raw Data'!K16*100</f>
        <v>2.58215277777778</v>
      </c>
      <c r="M17" s="33" t="n">
        <f aca="false">'1. Raw Data'!O16/'1. Raw Data'!K16*100</f>
        <v>11.0060541310542</v>
      </c>
      <c r="N17" s="11" t="n">
        <f aca="false">'1. Raw Data'!K16-'1. Raw Data'!J16</f>
        <v>94</v>
      </c>
      <c r="O17" s="35" t="n">
        <f aca="false">'1. Raw Data'!J16</f>
        <v>50</v>
      </c>
      <c r="P17" s="35" t="n">
        <f aca="false">'1. Raw Data'!K16</f>
        <v>144</v>
      </c>
      <c r="Q17" s="36" t="n">
        <f aca="false">'1. Raw Data'!I16</f>
        <v>167.1</v>
      </c>
      <c r="R17" s="36" t="n">
        <f aca="false">'1. Raw Data'!H16</f>
        <v>16.4</v>
      </c>
      <c r="S17" s="36" t="n">
        <f aca="false">'1. Raw Data'!L16</f>
        <v>2238</v>
      </c>
      <c r="T17" s="36" t="n">
        <f aca="false">'1. Raw Data'!M16</f>
        <v>2222</v>
      </c>
    </row>
    <row r="18" customFormat="false" ht="15" hidden="false" customHeight="true" outlineLevel="0" collapsed="false">
      <c r="A18" s="5" t="s">
        <v>37</v>
      </c>
      <c r="B18" s="6" t="s">
        <v>36</v>
      </c>
      <c r="C18" s="5" t="s">
        <v>20</v>
      </c>
      <c r="D18" s="33" t="n">
        <f aca="false">'1. Raw Data'!D17-'1. Raw Data'!E17*('1. Raw Data'!F17/'1. Raw Data'!G17)</f>
        <v>4203.99133506793</v>
      </c>
      <c r="E18" s="33" t="n">
        <f aca="false">D18*'1. Raw Data'!I17/1000</f>
        <v>605.374752249783</v>
      </c>
      <c r="F18" s="33" t="n">
        <f aca="false">('1. Raw Data'!M17*'1. Raw Data'!K17-'1. Raw Data'!L17*'1. Raw Data'!J17)/1000</f>
        <v>150.055</v>
      </c>
      <c r="G18" s="33" t="n">
        <f aca="false">E18-F18</f>
        <v>455.319752249783</v>
      </c>
      <c r="H18" s="33" t="n">
        <f aca="false">'1. Raw Data'!N17*9.13</f>
        <v>24.78270938</v>
      </c>
      <c r="I18" s="33" t="n">
        <f aca="false">'1. Raw Data'!O17*5.64</f>
        <v>76.3045914396885</v>
      </c>
      <c r="J18" s="34" t="n">
        <f aca="false">H18/E18</f>
        <v>0.0409377980959709</v>
      </c>
      <c r="K18" s="34" t="n">
        <f aca="false">I18/E18</f>
        <v>0.126045216051899</v>
      </c>
      <c r="L18" s="33" t="n">
        <f aca="false">'1. Raw Data'!N17/'1. Raw Data'!K17*100</f>
        <v>2.30036101694915</v>
      </c>
      <c r="M18" s="33" t="n">
        <f aca="false">'1. Raw Data'!O17/'1. Raw Data'!K17*100</f>
        <v>11.4654092198114</v>
      </c>
      <c r="N18" s="11" t="n">
        <f aca="false">'1. Raw Data'!K17-'1. Raw Data'!J17</f>
        <v>69</v>
      </c>
      <c r="O18" s="35" t="n">
        <f aca="false">'1. Raw Data'!J17</f>
        <v>49</v>
      </c>
      <c r="P18" s="35" t="n">
        <f aca="false">'1. Raw Data'!K17</f>
        <v>118</v>
      </c>
      <c r="Q18" s="36" t="n">
        <f aca="false">'1. Raw Data'!I17</f>
        <v>144</v>
      </c>
      <c r="R18" s="36" t="n">
        <f aca="false">'1. Raw Data'!H17</f>
        <v>15.5</v>
      </c>
      <c r="S18" s="36" t="n">
        <f aca="false">'1. Raw Data'!L17</f>
        <v>2232</v>
      </c>
      <c r="T18" s="36" t="n">
        <f aca="false">'1. Raw Data'!M17</f>
        <v>2198.5</v>
      </c>
    </row>
    <row r="19" customFormat="false" ht="15" hidden="false" customHeight="true" outlineLevel="0" collapsed="false">
      <c r="A19" s="5" t="s">
        <v>38</v>
      </c>
      <c r="B19" s="6" t="s">
        <v>36</v>
      </c>
      <c r="C19" s="5" t="s">
        <v>20</v>
      </c>
      <c r="D19" s="33" t="n">
        <f aca="false">'1. Raw Data'!D18-'1. Raw Data'!E18*('1. Raw Data'!F18/'1. Raw Data'!G18)</f>
        <v>4253.1652639509</v>
      </c>
      <c r="E19" s="33" t="n">
        <f aca="false">D19*'1. Raw Data'!I18/1000</f>
        <v>514.207680411663</v>
      </c>
      <c r="F19" s="33" t="n">
        <f aca="false">('1. Raw Data'!M18*'1. Raw Data'!K18-'1. Raw Data'!L18*'1. Raw Data'!J18)/1000</f>
        <v>272.481</v>
      </c>
      <c r="G19" s="33" t="n">
        <f aca="false">E19-F19</f>
        <v>241.726680411663</v>
      </c>
      <c r="H19" s="33" t="n">
        <f aca="false">'1. Raw Data'!N18*9.13</f>
        <v>41.09070625</v>
      </c>
      <c r="I19" s="33" t="n">
        <f aca="false">'1. Raw Data'!O18*5.64</f>
        <v>122.438874878758</v>
      </c>
      <c r="J19" s="34" t="n">
        <f aca="false">H19/E19</f>
        <v>0.079910720542143</v>
      </c>
      <c r="K19" s="34" t="n">
        <f aca="false">I19/E19</f>
        <v>0.238111719336313</v>
      </c>
      <c r="L19" s="33" t="n">
        <f aca="false">'1. Raw Data'!N18/'1. Raw Data'!K18*100</f>
        <v>2.61664244186047</v>
      </c>
      <c r="M19" s="33" t="n">
        <f aca="false">'1. Raw Data'!O18/'1. Raw Data'!K18*100</f>
        <v>12.6215234701013</v>
      </c>
      <c r="N19" s="11" t="n">
        <f aca="false">'1. Raw Data'!K18-'1. Raw Data'!J18</f>
        <v>124</v>
      </c>
      <c r="O19" s="35" t="n">
        <f aca="false">'1. Raw Data'!J18</f>
        <v>48</v>
      </c>
      <c r="P19" s="35" t="n">
        <f aca="false">'1. Raw Data'!K18</f>
        <v>172</v>
      </c>
      <c r="Q19" s="36" t="n">
        <f aca="false">'1. Raw Data'!I18</f>
        <v>120.9</v>
      </c>
      <c r="R19" s="36" t="n">
        <f aca="false">'1. Raw Data'!H18</f>
        <v>13.7</v>
      </c>
      <c r="S19" s="36" t="n">
        <f aca="false">'1. Raw Data'!L18</f>
        <v>2238</v>
      </c>
      <c r="T19" s="36" t="n">
        <f aca="false">'1. Raw Data'!M18</f>
        <v>2208.75</v>
      </c>
    </row>
    <row r="20" customFormat="false" ht="15" hidden="false" customHeight="true" outlineLevel="0" collapsed="false">
      <c r="A20" s="12" t="s">
        <v>39</v>
      </c>
      <c r="B20" s="13" t="s">
        <v>40</v>
      </c>
      <c r="C20" s="12" t="s">
        <v>41</v>
      </c>
      <c r="D20" s="33" t="n">
        <f aca="false">'1. Raw Data'!D19-'1. Raw Data'!E19*('1. Raw Data'!F19/'1. Raw Data'!G19)</f>
        <v>4186.51327741335</v>
      </c>
      <c r="E20" s="33" t="n">
        <f aca="false">D20*'1. Raw Data'!I19/1000</f>
        <v>409.440998531026</v>
      </c>
      <c r="F20" s="33" t="n">
        <f aca="false">('1. Raw Data'!M19*'1. Raw Data'!K19-'1. Raw Data'!L19*'1. Raw Data'!J19)/1000</f>
        <v>214.39</v>
      </c>
      <c r="G20" s="33" t="n">
        <f aca="false">E20-F20</f>
        <v>195.050998531026</v>
      </c>
      <c r="H20" s="33" t="n">
        <f aca="false">'1. Raw Data'!N19*9.13</f>
        <v>33.08646264</v>
      </c>
      <c r="I20" s="33" t="n">
        <f aca="false">'1. Raw Data'!O19*5.64</f>
        <v>183.92505982906</v>
      </c>
      <c r="J20" s="34" t="n">
        <f aca="false">H20/E20</f>
        <v>0.0808088656453705</v>
      </c>
      <c r="K20" s="34" t="n">
        <f aca="false">I20/E20</f>
        <v>0.449210168226772</v>
      </c>
      <c r="L20" s="33" t="n">
        <f aca="false">'1. Raw Data'!N19/'1. Raw Data'!K19*100</f>
        <v>2.51661666666667</v>
      </c>
      <c r="M20" s="33" t="n">
        <f aca="false">'1. Raw Data'!O19/'1. Raw Data'!K19*100</f>
        <v>22.6464070908515</v>
      </c>
      <c r="N20" s="18" t="n">
        <f aca="false">'1. Raw Data'!K19-'1. Raw Data'!J19</f>
        <v>98</v>
      </c>
      <c r="O20" s="37" t="n">
        <f aca="false">'1. Raw Data'!J19</f>
        <v>46</v>
      </c>
      <c r="P20" s="37" t="n">
        <f aca="false">'1. Raw Data'!K19</f>
        <v>144</v>
      </c>
      <c r="Q20" s="38" t="n">
        <f aca="false">'1. Raw Data'!I19</f>
        <v>97.8</v>
      </c>
      <c r="R20" s="38" t="n">
        <f aca="false">'1. Raw Data'!H19</f>
        <v>14.27</v>
      </c>
      <c r="S20" s="38" t="n">
        <f aca="false">'1. Raw Data'!L19</f>
        <v>2231</v>
      </c>
      <c r="T20" s="38" t="n">
        <f aca="false">'1. Raw Data'!M19</f>
        <v>2201.5</v>
      </c>
    </row>
    <row r="21" customFormat="false" ht="15" hidden="false" customHeight="true" outlineLevel="0" collapsed="false">
      <c r="A21" s="12" t="s">
        <v>42</v>
      </c>
      <c r="B21" s="13" t="s">
        <v>40</v>
      </c>
      <c r="C21" s="12" t="s">
        <v>41</v>
      </c>
      <c r="D21" s="33" t="n">
        <f aca="false">'1. Raw Data'!D20-'1. Raw Data'!E20*('1. Raw Data'!F20/'1. Raw Data'!G20)</f>
        <v>4289.29129086638</v>
      </c>
      <c r="E21" s="33" t="n">
        <f aca="false">D21*'1. Raw Data'!I20/1000</f>
        <v>419.492688246732</v>
      </c>
      <c r="F21" s="33" t="n">
        <f aca="false">('1. Raw Data'!M20*'1. Raw Data'!K20-'1. Raw Data'!L20*'1. Raw Data'!J20)/1000</f>
        <v>208.4085</v>
      </c>
      <c r="G21" s="33" t="n">
        <f aca="false">E21-F21</f>
        <v>211.084188246732</v>
      </c>
      <c r="H21" s="33" t="n">
        <f aca="false">'1. Raw Data'!N20*9.13</f>
        <v>31.4893918621358</v>
      </c>
      <c r="I21" s="33" t="n">
        <f aca="false">'1. Raw Data'!O20*5.64</f>
        <v>56.1322645914397</v>
      </c>
      <c r="J21" s="34" t="n">
        <f aca="false">H21/E21</f>
        <v>0.0750654129247057</v>
      </c>
      <c r="K21" s="34" t="n">
        <f aca="false">I21/E21</f>
        <v>0.133809875986264</v>
      </c>
      <c r="L21" s="33" t="n">
        <f aca="false">'1. Raw Data'!N20/'1. Raw Data'!K20*100</f>
        <v>2.42887492573128</v>
      </c>
      <c r="M21" s="33" t="n">
        <f aca="false">'1. Raw Data'!O20/'1. Raw Data'!K20*100</f>
        <v>7.00882336822492</v>
      </c>
      <c r="N21" s="18" t="n">
        <f aca="false">'1. Raw Data'!K20-'1. Raw Data'!J20</f>
        <v>96</v>
      </c>
      <c r="O21" s="37" t="n">
        <f aca="false">'1. Raw Data'!J20</f>
        <v>46</v>
      </c>
      <c r="P21" s="37" t="n">
        <f aca="false">'1. Raw Data'!K20</f>
        <v>142</v>
      </c>
      <c r="Q21" s="38" t="n">
        <f aca="false">'1. Raw Data'!I20</f>
        <v>97.8</v>
      </c>
      <c r="R21" s="38" t="n">
        <f aca="false">'1. Raw Data'!H20</f>
        <v>12.82</v>
      </c>
      <c r="S21" s="38" t="n">
        <f aca="false">'1. Raw Data'!L20</f>
        <v>2192</v>
      </c>
      <c r="T21" s="38" t="n">
        <f aca="false">'1. Raw Data'!M20</f>
        <v>2177.75</v>
      </c>
    </row>
    <row r="22" customFormat="false" ht="15" hidden="false" customHeight="true" outlineLevel="0" collapsed="false">
      <c r="A22" s="12" t="s">
        <v>43</v>
      </c>
      <c r="B22" s="13" t="s">
        <v>40</v>
      </c>
      <c r="C22" s="12" t="s">
        <v>41</v>
      </c>
      <c r="D22" s="33" t="n">
        <f aca="false">'1. Raw Data'!D21-'1. Raw Data'!E21*('1. Raw Data'!F21/'1. Raw Data'!G21)</f>
        <v>4286.24715407008</v>
      </c>
      <c r="E22" s="33" t="n">
        <f aca="false">D22*'1. Raw Data'!I21/1000</f>
        <v>419.194971668054</v>
      </c>
      <c r="F22" s="33" t="n">
        <f aca="false">('1. Raw Data'!M21*'1. Raw Data'!K21-'1. Raw Data'!L21*'1. Raw Data'!J21)/1000</f>
        <v>173.185</v>
      </c>
      <c r="G22" s="33" t="n">
        <f aca="false">E22-F22</f>
        <v>246.009971668054</v>
      </c>
      <c r="H22" s="33" t="n">
        <f aca="false">'1. Raw Data'!N21*9.13</f>
        <v>30.4620125119743</v>
      </c>
      <c r="I22" s="33" t="n">
        <f aca="false">'1. Raw Data'!O21*5.64</f>
        <v>64.117664403492</v>
      </c>
      <c r="J22" s="34" t="n">
        <f aca="false">H22/E22</f>
        <v>0.0726678862362313</v>
      </c>
      <c r="K22" s="34" t="n">
        <f aca="false">I22/E22</f>
        <v>0.152954278407386</v>
      </c>
      <c r="L22" s="33" t="n">
        <f aca="false">'1. Raw Data'!N21/'1. Raw Data'!K21*100</f>
        <v>2.73481519328949</v>
      </c>
      <c r="M22" s="33" t="n">
        <f aca="false">'1. Raw Data'!O21/'1. Raw Data'!K21*100</f>
        <v>9.3183444372009</v>
      </c>
      <c r="N22" s="18" t="n">
        <f aca="false">'1. Raw Data'!K21-'1. Raw Data'!J21</f>
        <v>80</v>
      </c>
      <c r="O22" s="37" t="n">
        <f aca="false">'1. Raw Data'!J21</f>
        <v>42</v>
      </c>
      <c r="P22" s="37" t="n">
        <f aca="false">'1. Raw Data'!K21</f>
        <v>122</v>
      </c>
      <c r="Q22" s="38" t="n">
        <f aca="false">'1. Raw Data'!I21</f>
        <v>97.8</v>
      </c>
      <c r="R22" s="38" t="n">
        <f aca="false">'1. Raw Data'!H21</f>
        <v>12.17</v>
      </c>
      <c r="S22" s="38" t="n">
        <f aca="false">'1. Raw Data'!L21</f>
        <v>2222</v>
      </c>
      <c r="T22" s="38" t="n">
        <f aca="false">'1. Raw Data'!M21</f>
        <v>2184.5</v>
      </c>
    </row>
    <row r="23" customFormat="false" ht="15" hidden="false" customHeight="true" outlineLevel="0" collapsed="false">
      <c r="A23" s="12" t="s">
        <v>44</v>
      </c>
      <c r="B23" s="13" t="s">
        <v>45</v>
      </c>
      <c r="C23" s="12" t="s">
        <v>41</v>
      </c>
      <c r="D23" s="33" t="n">
        <f aca="false">'1. Raw Data'!D22-'1. Raw Data'!E22*('1. Raw Data'!F22/'1. Raw Data'!G22)</f>
        <v>4183.96552944455</v>
      </c>
      <c r="E23" s="33" t="n">
        <f aca="false">D23*'1. Raw Data'!I22/1000</f>
        <v>478.436458291985</v>
      </c>
      <c r="F23" s="33" t="n">
        <f aca="false">('1. Raw Data'!M22*'1. Raw Data'!K22-'1. Raw Data'!L22*'1. Raw Data'!J22)/1000</f>
        <v>255.6835</v>
      </c>
      <c r="G23" s="33" t="n">
        <f aca="false">E23-F23</f>
        <v>222.752958291985</v>
      </c>
      <c r="H23" s="33" t="n">
        <f aca="false">'1. Raw Data'!N22*9.13</f>
        <v>94.2031275354897</v>
      </c>
      <c r="I23" s="33" t="n">
        <f aca="false">'1. Raw Data'!O22*5.64</f>
        <v>160.945694117647</v>
      </c>
      <c r="J23" s="34" t="n">
        <f aca="false">H23/E23</f>
        <v>0.196897886653108</v>
      </c>
      <c r="K23" s="34" t="n">
        <f aca="false">I23/E23</f>
        <v>0.336399309308957</v>
      </c>
      <c r="L23" s="33" t="n">
        <f aca="false">'1. Raw Data'!N22/'1. Raw Data'!K22*100</f>
        <v>6.21564863190922</v>
      </c>
      <c r="M23" s="33" t="n">
        <f aca="false">'1. Raw Data'!O22/'1. Raw Data'!K22*100</f>
        <v>17.1906449326719</v>
      </c>
      <c r="N23" s="18" t="n">
        <f aca="false">'1. Raw Data'!K22-'1. Raw Data'!J22</f>
        <v>116</v>
      </c>
      <c r="O23" s="37" t="n">
        <f aca="false">'1. Raw Data'!J22</f>
        <v>50</v>
      </c>
      <c r="P23" s="37" t="n">
        <f aca="false">'1. Raw Data'!K22</f>
        <v>166</v>
      </c>
      <c r="Q23" s="38" t="n">
        <f aca="false">'1. Raw Data'!I22</f>
        <v>114.35</v>
      </c>
      <c r="R23" s="38" t="n">
        <f aca="false">'1. Raw Data'!H22</f>
        <v>13.77</v>
      </c>
      <c r="S23" s="38" t="n">
        <f aca="false">'1. Raw Data'!L22</f>
        <v>2231</v>
      </c>
      <c r="T23" s="38" t="n">
        <f aca="false">'1. Raw Data'!M22</f>
        <v>2212.25</v>
      </c>
    </row>
    <row r="24" customFormat="false" ht="15" hidden="false" customHeight="true" outlineLevel="0" collapsed="false">
      <c r="A24" s="12" t="s">
        <v>46</v>
      </c>
      <c r="B24" s="13" t="s">
        <v>45</v>
      </c>
      <c r="C24" s="12" t="s">
        <v>41</v>
      </c>
      <c r="D24" s="33" t="n">
        <f aca="false">'1. Raw Data'!D23-'1. Raw Data'!E23*('1. Raw Data'!F23/'1. Raw Data'!G23)</f>
        <v>4125.496404178</v>
      </c>
      <c r="E24" s="33" t="n">
        <f aca="false">D24*'1. Raw Data'!I23/1000</f>
        <v>540.0274793069</v>
      </c>
      <c r="F24" s="33" t="n">
        <f aca="false">('1. Raw Data'!M23*'1. Raw Data'!K23-'1. Raw Data'!L23*'1. Raw Data'!J23)/1000</f>
        <v>80.466</v>
      </c>
      <c r="G24" s="33" t="n">
        <f aca="false">E24-F24</f>
        <v>459.5614793069</v>
      </c>
      <c r="H24" s="33" t="n">
        <f aca="false">'1. Raw Data'!N23*9.13</f>
        <v>109.907095569204</v>
      </c>
      <c r="I24" s="33" t="n">
        <f aca="false">'1. Raw Data'!O23*5.64</f>
        <v>96.2122707340326</v>
      </c>
      <c r="J24" s="34" t="n">
        <f aca="false">H24/E24</f>
        <v>0.203521301749801</v>
      </c>
      <c r="K24" s="34" t="n">
        <f aca="false">I24/E24</f>
        <v>0.178161805502039</v>
      </c>
      <c r="L24" s="33" t="n">
        <f aca="false">'1. Raw Data'!N23/'1. Raw Data'!K23*100</f>
        <v>14.1623729874627</v>
      </c>
      <c r="M24" s="33" t="n">
        <f aca="false">'1. Raw Data'!O23/'1. Raw Data'!K23*100</f>
        <v>20.0693097067235</v>
      </c>
      <c r="N24" s="18" t="n">
        <f aca="false">'1. Raw Data'!K23-'1. Raw Data'!J23</f>
        <v>36</v>
      </c>
      <c r="O24" s="37" t="n">
        <f aca="false">'1. Raw Data'!J23</f>
        <v>49</v>
      </c>
      <c r="P24" s="37" t="n">
        <f aca="false">'1. Raw Data'!K23</f>
        <v>85</v>
      </c>
      <c r="Q24" s="38" t="n">
        <f aca="false">'1. Raw Data'!I23</f>
        <v>130.9</v>
      </c>
      <c r="R24" s="38" t="n">
        <f aca="false">'1. Raw Data'!H23</f>
        <v>12.63</v>
      </c>
      <c r="S24" s="38" t="n">
        <f aca="false">'1. Raw Data'!L23</f>
        <v>2221</v>
      </c>
      <c r="T24" s="38" t="n">
        <f aca="false">'1. Raw Data'!M23</f>
        <v>2227</v>
      </c>
    </row>
    <row r="25" customFormat="false" ht="15" hidden="false" customHeight="true" outlineLevel="0" collapsed="false">
      <c r="A25" s="12" t="s">
        <v>47</v>
      </c>
      <c r="B25" s="13" t="s">
        <v>45</v>
      </c>
      <c r="C25" s="12" t="s">
        <v>41</v>
      </c>
      <c r="D25" s="33" t="n">
        <f aca="false">'1. Raw Data'!D24-'1. Raw Data'!E24*('1. Raw Data'!F24/'1. Raw Data'!G24)</f>
        <v>4247.07034020249</v>
      </c>
      <c r="E25" s="33" t="n">
        <f aca="false">D25*'1. Raw Data'!I24/1000</f>
        <v>626.230521662858</v>
      </c>
      <c r="F25" s="33" t="n">
        <f aca="false">('1. Raw Data'!M24*'1. Raw Data'!K24-'1. Raw Data'!L24*'1. Raw Data'!J24)/1000</f>
        <v>174.768</v>
      </c>
      <c r="G25" s="33" t="n">
        <f aca="false">E25-F25</f>
        <v>451.462521662858</v>
      </c>
      <c r="H25" s="33" t="n">
        <f aca="false">'1. Raw Data'!N24*9.13</f>
        <v>116.555191646695</v>
      </c>
      <c r="I25" s="33" t="n">
        <f aca="false">'1. Raw Data'!O24*5.64</f>
        <v>81.8844444444443</v>
      </c>
      <c r="J25" s="34" t="n">
        <f aca="false">H25/E25</f>
        <v>0.186121863458845</v>
      </c>
      <c r="K25" s="34" t="n">
        <f aca="false">I25/E25</f>
        <v>0.130757670876553</v>
      </c>
      <c r="L25" s="33" t="n">
        <f aca="false">'1. Raw Data'!N24/'1. Raw Data'!K24*100</f>
        <v>9.97357540788399</v>
      </c>
      <c r="M25" s="33" t="n">
        <f aca="false">'1. Raw Data'!O24/'1. Raw Data'!K24*100</f>
        <v>11.3425925925926</v>
      </c>
      <c r="N25" s="18" t="n">
        <f aca="false">'1. Raw Data'!K24-'1. Raw Data'!J24</f>
        <v>80</v>
      </c>
      <c r="O25" s="37" t="n">
        <f aca="false">'1. Raw Data'!J24</f>
        <v>48</v>
      </c>
      <c r="P25" s="37" t="n">
        <f aca="false">'1. Raw Data'!K24</f>
        <v>128</v>
      </c>
      <c r="Q25" s="38" t="n">
        <f aca="false">'1. Raw Data'!I24</f>
        <v>147.45</v>
      </c>
      <c r="R25" s="38" t="n">
        <f aca="false">'1. Raw Data'!H24</f>
        <v>16.7</v>
      </c>
      <c r="S25" s="38" t="n">
        <f aca="false">'1. Raw Data'!L24</f>
        <v>2239</v>
      </c>
      <c r="T25" s="38" t="n">
        <f aca="false">'1. Raw Data'!M24</f>
        <v>2205</v>
      </c>
    </row>
    <row r="26" customFormat="false" ht="15" hidden="false" customHeight="true" outlineLevel="0" collapsed="false">
      <c r="A26" s="12" t="s">
        <v>48</v>
      </c>
      <c r="B26" s="13" t="s">
        <v>49</v>
      </c>
      <c r="C26" s="12" t="s">
        <v>41</v>
      </c>
      <c r="D26" s="33" t="n">
        <f aca="false">'1. Raw Data'!D25-'1. Raw Data'!E25*('1. Raw Data'!F25/'1. Raw Data'!G25)</f>
        <v>4211.30627314308</v>
      </c>
      <c r="E26" s="33" t="n">
        <f aca="false">D26*'1. Raw Data'!I25/1000</f>
        <v>690.654228795465</v>
      </c>
      <c r="F26" s="33" t="n">
        <f aca="false">('1. Raw Data'!M25*'1. Raw Data'!K25-'1. Raw Data'!L25*'1. Raw Data'!J25)/1000</f>
        <v>204.656</v>
      </c>
      <c r="G26" s="33" t="n">
        <f aca="false">E26-F26</f>
        <v>485.998228795465</v>
      </c>
      <c r="H26" s="33" t="n">
        <f aca="false">'1. Raw Data'!N25*9.13</f>
        <v>78.2739266413776</v>
      </c>
      <c r="I26" s="33" t="n">
        <f aca="false">'1. Raw Data'!O25*5.64</f>
        <v>96.6190344827585</v>
      </c>
      <c r="J26" s="34" t="n">
        <f aca="false">H26/E26</f>
        <v>0.113333015824563</v>
      </c>
      <c r="K26" s="34" t="n">
        <f aca="false">I26/E26</f>
        <v>0.139894943742351</v>
      </c>
      <c r="L26" s="33" t="n">
        <f aca="false">'1. Raw Data'!N25/'1. Raw Data'!K25*100</f>
        <v>6.16781790140635</v>
      </c>
      <c r="M26" s="33" t="n">
        <f aca="false">'1. Raw Data'!O25/'1. Raw Data'!K25*100</f>
        <v>12.3244852393947</v>
      </c>
      <c r="N26" s="18" t="n">
        <f aca="false">'1. Raw Data'!K25-'1. Raw Data'!J25</f>
        <v>93</v>
      </c>
      <c r="O26" s="37" t="n">
        <f aca="false">'1. Raw Data'!J25</f>
        <v>46</v>
      </c>
      <c r="P26" s="37" t="n">
        <f aca="false">'1. Raw Data'!K25</f>
        <v>139</v>
      </c>
      <c r="Q26" s="38" t="n">
        <f aca="false">'1. Raw Data'!I25</f>
        <v>164</v>
      </c>
      <c r="R26" s="38" t="n">
        <f aca="false">'1. Raw Data'!H25</f>
        <v>16.7</v>
      </c>
      <c r="S26" s="38" t="n">
        <f aca="false">'1. Raw Data'!L25</f>
        <v>2229</v>
      </c>
      <c r="T26" s="38" t="n">
        <f aca="false">'1. Raw Data'!M25</f>
        <v>2210</v>
      </c>
    </row>
    <row r="27" customFormat="false" ht="15" hidden="false" customHeight="true" outlineLevel="0" collapsed="false">
      <c r="A27" s="12" t="s">
        <v>50</v>
      </c>
      <c r="B27" s="13" t="s">
        <v>49</v>
      </c>
      <c r="C27" s="12" t="s">
        <v>41</v>
      </c>
      <c r="D27" s="33" t="n">
        <f aca="false">'1. Raw Data'!D26-'1. Raw Data'!E26*('1. Raw Data'!F26/'1. Raw Data'!G26)</f>
        <v>4238.82217033053</v>
      </c>
      <c r="E27" s="33" t="n">
        <f aca="false">D27*'1. Raw Data'!I26/1000</f>
        <v>695.166835934207</v>
      </c>
      <c r="F27" s="33" t="n">
        <f aca="false">('1. Raw Data'!M26*'1. Raw Data'!K26-'1. Raw Data'!L26*'1. Raw Data'!J26)/1000</f>
        <v>170.79625</v>
      </c>
      <c r="G27" s="33" t="n">
        <f aca="false">E27-F27</f>
        <v>524.370585934207</v>
      </c>
      <c r="H27" s="33" t="n">
        <f aca="false">'1. Raw Data'!N26*9.13</f>
        <v>81.8597410490063</v>
      </c>
      <c r="I27" s="33" t="n">
        <f aca="false">'1. Raw Data'!O26*5.64</f>
        <v>80.1624905660377</v>
      </c>
      <c r="J27" s="34" t="n">
        <f aca="false">H27/E27</f>
        <v>0.117755532654256</v>
      </c>
      <c r="K27" s="34" t="n">
        <f aca="false">I27/E27</f>
        <v>0.115314031714862</v>
      </c>
      <c r="L27" s="33" t="n">
        <f aca="false">'1. Raw Data'!N26/'1. Raw Data'!K26*100</f>
        <v>7.28944523539892</v>
      </c>
      <c r="M27" s="33" t="n">
        <f aca="false">'1. Raw Data'!O26/'1. Raw Data'!K26*100</f>
        <v>11.555453290382</v>
      </c>
      <c r="N27" s="18" t="n">
        <f aca="false">'1. Raw Data'!K26-'1. Raw Data'!J26</f>
        <v>77</v>
      </c>
      <c r="O27" s="37" t="n">
        <f aca="false">'1. Raw Data'!J26</f>
        <v>46</v>
      </c>
      <c r="P27" s="37" t="n">
        <f aca="false">'1. Raw Data'!K26</f>
        <v>123</v>
      </c>
      <c r="Q27" s="38" t="n">
        <f aca="false">'1. Raw Data'!I26</f>
        <v>164</v>
      </c>
      <c r="R27" s="38" t="n">
        <f aca="false">'1. Raw Data'!H26</f>
        <v>13.03</v>
      </c>
      <c r="S27" s="38" t="n">
        <f aca="false">'1. Raw Data'!L26</f>
        <v>2177</v>
      </c>
      <c r="T27" s="38" t="n">
        <f aca="false">'1. Raw Data'!M26</f>
        <v>2202.75</v>
      </c>
    </row>
    <row r="28" customFormat="false" ht="15" hidden="false" customHeight="true" outlineLevel="0" collapsed="false">
      <c r="A28" s="12" t="s">
        <v>51</v>
      </c>
      <c r="B28" s="13" t="s">
        <v>49</v>
      </c>
      <c r="C28" s="12" t="s">
        <v>41</v>
      </c>
      <c r="D28" s="33" t="n">
        <f aca="false">'1. Raw Data'!D27-'1. Raw Data'!E27*('1. Raw Data'!F27/'1. Raw Data'!G27)</f>
        <v>4231.3807488</v>
      </c>
      <c r="E28" s="33" t="n">
        <f aca="false">D28*'1. Raw Data'!I27/1000</f>
        <v>693.9464428032</v>
      </c>
      <c r="F28" s="33" t="n">
        <f aca="false">('1. Raw Data'!M27*'1. Raw Data'!K27-'1. Raw Data'!L27*'1. Raw Data'!J27)/1000</f>
        <v>214.335</v>
      </c>
      <c r="G28" s="33" t="n">
        <f aca="false">E28-F28</f>
        <v>479.6114428032</v>
      </c>
      <c r="H28" s="33" t="n">
        <f aca="false">'1. Raw Data'!N27*9.13</f>
        <v>84.3101223814735</v>
      </c>
      <c r="I28" s="33" t="n">
        <f aca="false">'1. Raw Data'!O27*5.64</f>
        <v>81.53858111824</v>
      </c>
      <c r="J28" s="34" t="n">
        <f aca="false">H28/E28</f>
        <v>0.121493702080095</v>
      </c>
      <c r="K28" s="34" t="n">
        <f aca="false">I28/E28</f>
        <v>0.117499818557848</v>
      </c>
      <c r="L28" s="33" t="n">
        <f aca="false">'1. Raw Data'!N27/'1. Raw Data'!K27*100</f>
        <v>6.54922377179694</v>
      </c>
      <c r="M28" s="33" t="n">
        <f aca="false">'1. Raw Data'!O27/'1. Raw Data'!K27*100</f>
        <v>10.2533299530004</v>
      </c>
      <c r="N28" s="18" t="n">
        <f aca="false">'1. Raw Data'!K27-'1. Raw Data'!J27</f>
        <v>99</v>
      </c>
      <c r="O28" s="37" t="n">
        <f aca="false">'1. Raw Data'!J27</f>
        <v>42</v>
      </c>
      <c r="P28" s="37" t="n">
        <f aca="false">'1. Raw Data'!K27</f>
        <v>141</v>
      </c>
      <c r="Q28" s="38" t="n">
        <f aca="false">'1. Raw Data'!I27</f>
        <v>164</v>
      </c>
      <c r="R28" s="38" t="n">
        <f aca="false">'1. Raw Data'!H27</f>
        <v>14.83</v>
      </c>
      <c r="S28" s="38" t="n">
        <f aca="false">'1. Raw Data'!L27</f>
        <v>2165</v>
      </c>
      <c r="T28" s="38" t="n">
        <f aca="false">'1. Raw Data'!M27</f>
        <v>2165</v>
      </c>
    </row>
    <row r="29" customFormat="false" ht="15" hidden="false" customHeight="true" outlineLevel="0" collapsed="false">
      <c r="A29" s="20" t="s">
        <v>52</v>
      </c>
      <c r="B29" s="21" t="s">
        <v>53</v>
      </c>
      <c r="C29" s="20" t="s">
        <v>54</v>
      </c>
      <c r="D29" s="33" t="n">
        <f aca="false">'1. Raw Data'!D28-'1. Raw Data'!E28*('1. Raw Data'!F28/'1. Raw Data'!G28)</f>
        <v>4243.10586152232</v>
      </c>
      <c r="E29" s="33" t="n">
        <f aca="false">D29*'1. Raw Data'!I28/1000</f>
        <v>709.977688279223</v>
      </c>
      <c r="F29" s="33" t="n">
        <f aca="false">('1. Raw Data'!M28*'1. Raw Data'!K28-'1. Raw Data'!L28*'1. Raw Data'!J28)/1000</f>
        <v>202.964</v>
      </c>
      <c r="G29" s="33" t="n">
        <f aca="false">E29-F29</f>
        <v>507.013688279223</v>
      </c>
      <c r="H29" s="33" t="n">
        <f aca="false">'1. Raw Data'!N28*9.13</f>
        <v>55.3120180935333</v>
      </c>
      <c r="I29" s="33" t="n">
        <f aca="false">'1. Raw Data'!O28*5.64</f>
        <v>61.3766686567165</v>
      </c>
      <c r="J29" s="34" t="n">
        <f aca="false">H29/E29</f>
        <v>0.0779066990507736</v>
      </c>
      <c r="K29" s="34" t="n">
        <f aca="false">I29/E29</f>
        <v>0.0864487288403041</v>
      </c>
      <c r="L29" s="33" t="n">
        <f aca="false">'1. Raw Data'!N28/'1. Raw Data'!K28*100</f>
        <v>4.20713293275628</v>
      </c>
      <c r="M29" s="33" t="n">
        <f aca="false">'1. Raw Data'!O28/'1. Raw Data'!K28*100</f>
        <v>7.55721393034826</v>
      </c>
      <c r="N29" s="26" t="n">
        <f aca="false">'1. Raw Data'!K28-'1. Raw Data'!J28</f>
        <v>94</v>
      </c>
      <c r="O29" s="39" t="n">
        <f aca="false">'1. Raw Data'!J28</f>
        <v>50</v>
      </c>
      <c r="P29" s="39" t="n">
        <f aca="false">'1. Raw Data'!K28</f>
        <v>144</v>
      </c>
      <c r="Q29" s="40" t="n">
        <f aca="false">'1. Raw Data'!I28</f>
        <v>167.325</v>
      </c>
      <c r="R29" s="40" t="n">
        <f aca="false">'1. Raw Data'!H28</f>
        <v>16.58</v>
      </c>
      <c r="S29" s="40" t="n">
        <f aca="false">'1. Raw Data'!L28</f>
        <v>2240</v>
      </c>
      <c r="T29" s="40" t="n">
        <f aca="false">'1. Raw Data'!M28</f>
        <v>2187.25</v>
      </c>
    </row>
    <row r="30" customFormat="false" ht="15" hidden="false" customHeight="true" outlineLevel="0" collapsed="false">
      <c r="A30" s="20" t="s">
        <v>55</v>
      </c>
      <c r="B30" s="21" t="s">
        <v>53</v>
      </c>
      <c r="C30" s="20" t="s">
        <v>54</v>
      </c>
      <c r="D30" s="33" t="n">
        <f aca="false">'1. Raw Data'!D29-'1. Raw Data'!E29*('1. Raw Data'!F29/'1. Raw Data'!G29)</f>
        <v>4246.07208650422</v>
      </c>
      <c r="E30" s="33" t="n">
        <f aca="false">D30*'1. Raw Data'!I29/1000</f>
        <v>724.592201561945</v>
      </c>
      <c r="F30" s="33" t="n">
        <f aca="false">('1. Raw Data'!M29*'1. Raw Data'!K29-'1. Raw Data'!L29*'1. Raw Data'!J29)/1000</f>
        <v>199.808</v>
      </c>
      <c r="G30" s="33" t="n">
        <f aca="false">E30-F30</f>
        <v>524.784201561945</v>
      </c>
      <c r="H30" s="33" t="n">
        <f aca="false">'1. Raw Data'!N29*9.13</f>
        <v>86.8002183767889</v>
      </c>
      <c r="I30" s="33" t="n">
        <f aca="false">'1. Raw Data'!O29*5.64</f>
        <v>66.1990940499039</v>
      </c>
      <c r="J30" s="34" t="n">
        <f aca="false">H30/E30</f>
        <v>0.119791819715532</v>
      </c>
      <c r="K30" s="34" t="n">
        <f aca="false">I30/E30</f>
        <v>0.0913604837413428</v>
      </c>
      <c r="L30" s="33" t="n">
        <f aca="false">'1. Raw Data'!N29/'1. Raw Data'!K29*100</f>
        <v>6.79081664659591</v>
      </c>
      <c r="M30" s="33" t="n">
        <f aca="false">'1. Raw Data'!O29/'1. Raw Data'!K29*100</f>
        <v>8.383877159309</v>
      </c>
      <c r="N30" s="26" t="n">
        <f aca="false">'1. Raw Data'!K29-'1. Raw Data'!J29</f>
        <v>91</v>
      </c>
      <c r="O30" s="39" t="n">
        <f aca="false">'1. Raw Data'!J29</f>
        <v>49</v>
      </c>
      <c r="P30" s="39" t="n">
        <f aca="false">'1. Raw Data'!K29</f>
        <v>140</v>
      </c>
      <c r="Q30" s="40" t="n">
        <f aca="false">'1. Raw Data'!I29</f>
        <v>170.65</v>
      </c>
      <c r="R30" s="40" t="n">
        <f aca="false">'1. Raw Data'!H29</f>
        <v>12.47</v>
      </c>
      <c r="S30" s="40" t="n">
        <f aca="false">'1. Raw Data'!L29</f>
        <v>2233</v>
      </c>
      <c r="T30" s="40" t="n">
        <f aca="false">'1. Raw Data'!M29</f>
        <v>2208.75</v>
      </c>
    </row>
    <row r="31" customFormat="false" ht="15" hidden="false" customHeight="true" outlineLevel="0" collapsed="false">
      <c r="A31" s="20" t="s">
        <v>56</v>
      </c>
      <c r="B31" s="21" t="s">
        <v>53</v>
      </c>
      <c r="C31" s="20" t="s">
        <v>54</v>
      </c>
      <c r="D31" s="33" t="n">
        <f aca="false">'1. Raw Data'!D30-'1. Raw Data'!E30*('1. Raw Data'!F30/'1. Raw Data'!G30)</f>
        <v>4287.94811229391</v>
      </c>
      <c r="E31" s="33" t="n">
        <f aca="false">D31*'1. Raw Data'!I30/1000</f>
        <v>745.995772836333</v>
      </c>
      <c r="F31" s="33" t="n">
        <f aca="false">('1. Raw Data'!M30*'1. Raw Data'!K30-'1. Raw Data'!L30*'1. Raw Data'!J30)/1000</f>
        <v>173.079</v>
      </c>
      <c r="G31" s="33" t="n">
        <f aca="false">E31-F31</f>
        <v>572.916772836333</v>
      </c>
      <c r="H31" s="33" t="n">
        <f aca="false">'1. Raw Data'!N30*9.13</f>
        <v>54.7377818098404</v>
      </c>
      <c r="I31" s="33" t="n">
        <f aca="false">'1. Raw Data'!O30*5.64</f>
        <v>101.89810055866</v>
      </c>
      <c r="J31" s="34" t="n">
        <f aca="false">H31/E31</f>
        <v>0.073375458418113</v>
      </c>
      <c r="K31" s="34" t="n">
        <f aca="false">I31/E31</f>
        <v>0.13659340209293</v>
      </c>
      <c r="L31" s="33" t="n">
        <f aca="false">'1. Raw Data'!N30/'1. Raw Data'!K30*100</f>
        <v>4.64757820371043</v>
      </c>
      <c r="M31" s="33" t="n">
        <f aca="false">'1. Raw Data'!O30/'1. Raw Data'!K30*100</f>
        <v>14.0054566714305</v>
      </c>
      <c r="N31" s="26" t="n">
        <f aca="false">'1. Raw Data'!K30-'1. Raw Data'!J30</f>
        <v>81</v>
      </c>
      <c r="O31" s="39" t="n">
        <f aca="false">'1. Raw Data'!J30</f>
        <v>48</v>
      </c>
      <c r="P31" s="39" t="n">
        <f aca="false">'1. Raw Data'!K30</f>
        <v>129</v>
      </c>
      <c r="Q31" s="40" t="n">
        <f aca="false">'1. Raw Data'!I30</f>
        <v>173.975</v>
      </c>
      <c r="R31" s="40" t="n">
        <f aca="false">'1. Raw Data'!H30</f>
        <v>15.72</v>
      </c>
      <c r="S31" s="40" t="n">
        <f aca="false">'1. Raw Data'!L30</f>
        <v>2239.5</v>
      </c>
      <c r="T31" s="40" t="n">
        <f aca="false">'1. Raw Data'!M30</f>
        <v>2175</v>
      </c>
    </row>
    <row r="32" customFormat="false" ht="15" hidden="false" customHeight="true" outlineLevel="0" collapsed="false">
      <c r="A32" s="20" t="s">
        <v>57</v>
      </c>
      <c r="B32" s="21" t="s">
        <v>58</v>
      </c>
      <c r="C32" s="20" t="s">
        <v>54</v>
      </c>
      <c r="D32" s="33" t="n">
        <f aca="false">'1. Raw Data'!D31-'1. Raw Data'!E31*('1. Raw Data'!F31/'1. Raw Data'!G31)</f>
        <v>4205.09780381378</v>
      </c>
      <c r="E32" s="33" t="n">
        <f aca="false">D32*'1. Raw Data'!I31/1000</f>
        <v>745.563840616183</v>
      </c>
      <c r="F32" s="33" t="n">
        <f aca="false">('1. Raw Data'!M31*'1. Raw Data'!K31-'1. Raw Data'!L31*'1. Raw Data'!J31)/1000</f>
        <v>179.0915</v>
      </c>
      <c r="G32" s="33" t="n">
        <f aca="false">E32-F32</f>
        <v>566.472340616183</v>
      </c>
      <c r="H32" s="33" t="n">
        <f aca="false">'1. Raw Data'!N31*9.13</f>
        <v>34.9740085454705</v>
      </c>
      <c r="I32" s="33" t="n">
        <f aca="false">'1. Raw Data'!O31*5.64</f>
        <v>56.8476190476192</v>
      </c>
      <c r="J32" s="34" t="n">
        <f aca="false">H32/E32</f>
        <v>0.0469094752725208</v>
      </c>
      <c r="K32" s="34" t="n">
        <f aca="false">I32/E32</f>
        <v>0.0762478220518804</v>
      </c>
      <c r="L32" s="33" t="n">
        <f aca="false">'1. Raw Data'!N31/'1. Raw Data'!K31*100</f>
        <v>2.9695109015742</v>
      </c>
      <c r="M32" s="33" t="n">
        <f aca="false">'1. Raw Data'!O31/'1. Raw Data'!K31*100</f>
        <v>7.81346130183341</v>
      </c>
      <c r="N32" s="26" t="n">
        <f aca="false">'1. Raw Data'!K31-'1. Raw Data'!J31</f>
        <v>83</v>
      </c>
      <c r="O32" s="39" t="n">
        <f aca="false">'1. Raw Data'!J31</f>
        <v>46</v>
      </c>
      <c r="P32" s="39" t="n">
        <f aca="false">'1. Raw Data'!K31</f>
        <v>129</v>
      </c>
      <c r="Q32" s="40" t="n">
        <f aca="false">'1. Raw Data'!I31</f>
        <v>177.3</v>
      </c>
      <c r="R32" s="40" t="n">
        <f aca="false">'1. Raw Data'!H31</f>
        <v>10.47</v>
      </c>
      <c r="S32" s="40" t="n">
        <f aca="false">'1. Raw Data'!L31</f>
        <v>2230</v>
      </c>
      <c r="T32" s="40" t="n">
        <f aca="false">'1. Raw Data'!M31</f>
        <v>2183.5</v>
      </c>
    </row>
    <row r="33" customFormat="false" ht="15" hidden="false" customHeight="true" outlineLevel="0" collapsed="false">
      <c r="A33" s="20" t="s">
        <v>59</v>
      </c>
      <c r="B33" s="21" t="s">
        <v>58</v>
      </c>
      <c r="C33" s="20" t="s">
        <v>54</v>
      </c>
      <c r="D33" s="33" t="n">
        <f aca="false">'1. Raw Data'!D32-'1. Raw Data'!E32*('1. Raw Data'!F32/'1. Raw Data'!G32)</f>
        <v>4224.37544658683</v>
      </c>
      <c r="E33" s="33" t="n">
        <f aca="false">D33*'1. Raw Data'!I32/1000</f>
        <v>748.981766679845</v>
      </c>
      <c r="F33" s="33" t="n">
        <f aca="false">('1. Raw Data'!M32*'1. Raw Data'!K32-'1. Raw Data'!L32*'1. Raw Data'!J32)/1000</f>
        <v>189.9915</v>
      </c>
      <c r="G33" s="33" t="n">
        <f aca="false">E33-F33</f>
        <v>558.990266679845</v>
      </c>
      <c r="H33" s="33" t="n">
        <f aca="false">'1. Raw Data'!N32*9.13</f>
        <v>35.722065039963</v>
      </c>
      <c r="I33" s="33" t="n">
        <f aca="false">'1. Raw Data'!O32*5.64</f>
        <v>46.0424198473282</v>
      </c>
      <c r="J33" s="34" t="n">
        <f aca="false">H33/E33</f>
        <v>0.0476941717797952</v>
      </c>
      <c r="K33" s="34" t="n">
        <f aca="false">I33/E33</f>
        <v>0.0614733520836285</v>
      </c>
      <c r="L33" s="33" t="n">
        <f aca="false">'1. Raw Data'!N32/'1. Raw Data'!K32*100</f>
        <v>2.98671981806167</v>
      </c>
      <c r="M33" s="33" t="n">
        <f aca="false">'1. Raw Data'!O32/'1. Raw Data'!K32*100</f>
        <v>6.2317172658936</v>
      </c>
      <c r="N33" s="26" t="n">
        <f aca="false">'1. Raw Data'!K32-'1. Raw Data'!J32</f>
        <v>85</v>
      </c>
      <c r="O33" s="39" t="n">
        <f aca="false">'1. Raw Data'!J32</f>
        <v>46</v>
      </c>
      <c r="P33" s="39" t="n">
        <f aca="false">'1. Raw Data'!K32</f>
        <v>131</v>
      </c>
      <c r="Q33" s="40" t="n">
        <f aca="false">'1. Raw Data'!I32</f>
        <v>177.3</v>
      </c>
      <c r="R33" s="40" t="n">
        <f aca="false">'1. Raw Data'!H32</f>
        <v>15.23</v>
      </c>
      <c r="S33" s="40" t="n">
        <f aca="false">'1. Raw Data'!L32</f>
        <v>2190.5</v>
      </c>
      <c r="T33" s="40" t="n">
        <f aca="false">'1. Raw Data'!M32</f>
        <v>2219.5</v>
      </c>
    </row>
    <row r="34" customFormat="false" ht="15" hidden="false" customHeight="true" outlineLevel="0" collapsed="false">
      <c r="A34" s="20" t="s">
        <v>60</v>
      </c>
      <c r="B34" s="21" t="s">
        <v>58</v>
      </c>
      <c r="C34" s="20" t="s">
        <v>54</v>
      </c>
      <c r="D34" s="33" t="n">
        <f aca="false">'1. Raw Data'!D33-'1. Raw Data'!E33*('1. Raw Data'!F33/'1. Raw Data'!G33)</f>
        <v>4222.77415538269</v>
      </c>
      <c r="E34" s="33" t="n">
        <f aca="false">D34*'1. Raw Data'!I33/1000</f>
        <v>748.697857749351</v>
      </c>
      <c r="F34" s="33" t="n">
        <f aca="false">('1. Raw Data'!M33*'1. Raw Data'!K33-'1. Raw Data'!L33*'1. Raw Data'!J33)/1000</f>
        <v>177.5445</v>
      </c>
      <c r="G34" s="33" t="n">
        <f aca="false">E34-F34</f>
        <v>571.153357749352</v>
      </c>
      <c r="H34" s="33" t="n">
        <f aca="false">'1. Raw Data'!N33*9.13</f>
        <v>40.1440523883006</v>
      </c>
      <c r="I34" s="33" t="n">
        <f aca="false">'1. Raw Data'!O33*5.64</f>
        <v>179.691064833006</v>
      </c>
      <c r="J34" s="34" t="n">
        <f aca="false">H34/E34</f>
        <v>0.0536184950615152</v>
      </c>
      <c r="K34" s="34" t="n">
        <f aca="false">I34/E34</f>
        <v>0.24000478026366</v>
      </c>
      <c r="L34" s="33" t="n">
        <f aca="false">'1. Raw Data'!N33/'1. Raw Data'!K33*100</f>
        <v>3.57474709376759</v>
      </c>
      <c r="M34" s="33" t="n">
        <f aca="false">'1. Raw Data'!O33/'1. Raw Data'!K33*100</f>
        <v>25.9025348603191</v>
      </c>
      <c r="N34" s="26" t="n">
        <f aca="false">'1. Raw Data'!K33-'1. Raw Data'!J33</f>
        <v>81</v>
      </c>
      <c r="O34" s="39" t="n">
        <f aca="false">'1. Raw Data'!J33</f>
        <v>42</v>
      </c>
      <c r="P34" s="39" t="n">
        <f aca="false">'1. Raw Data'!K33</f>
        <v>123</v>
      </c>
      <c r="Q34" s="40" t="n">
        <f aca="false">'1. Raw Data'!I33</f>
        <v>177.3</v>
      </c>
      <c r="R34" s="40" t="n">
        <f aca="false">'1. Raw Data'!H33</f>
        <v>12.25</v>
      </c>
      <c r="S34" s="40" t="n">
        <f aca="false">'1. Raw Data'!L33</f>
        <v>2220</v>
      </c>
      <c r="T34" s="40" t="n">
        <f aca="false">'1. Raw Data'!M33</f>
        <v>2201.5</v>
      </c>
    </row>
    <row r="35" customFormat="false" ht="15" hidden="false" customHeight="true" outlineLevel="0" collapsed="false">
      <c r="A35" s="20" t="s">
        <v>61</v>
      </c>
      <c r="B35" s="21" t="s">
        <v>62</v>
      </c>
      <c r="C35" s="20" t="s">
        <v>54</v>
      </c>
      <c r="D35" s="33" t="n">
        <f aca="false">'1. Raw Data'!D34-'1. Raw Data'!E34*('1. Raw Data'!F34/'1. Raw Data'!G34)</f>
        <v>4223.08367713478</v>
      </c>
      <c r="E35" s="33" t="n">
        <f aca="false">D35*'1. Raw Data'!I34/1000</f>
        <v>737.878295487374</v>
      </c>
      <c r="F35" s="33" t="n">
        <f aca="false">('1. Raw Data'!M34*'1. Raw Data'!K34-'1. Raw Data'!L34*'1. Raw Data'!J34)/1000</f>
        <v>167.4445</v>
      </c>
      <c r="G35" s="33" t="n">
        <f aca="false">E35-F35</f>
        <v>570.433795487374</v>
      </c>
      <c r="H35" s="33" t="n">
        <f aca="false">'1. Raw Data'!N34*9.13</f>
        <v>75.5370550920048</v>
      </c>
      <c r="I35" s="33" t="n">
        <f aca="false">'1. Raw Data'!O34*5.64</f>
        <v>115.109358561968</v>
      </c>
      <c r="J35" s="34" t="n">
        <f aca="false">H35/E35</f>
        <v>0.102370615254528</v>
      </c>
      <c r="K35" s="34" t="n">
        <f aca="false">I35/E35</f>
        <v>0.156000466832999</v>
      </c>
      <c r="L35" s="33" t="n">
        <f aca="false">'1. Raw Data'!N34/'1. Raw Data'!K34*100</f>
        <v>6.56626984926761</v>
      </c>
      <c r="M35" s="33" t="n">
        <f aca="false">'1. Raw Data'!O34/'1. Raw Data'!K34*100</f>
        <v>16.1979847126489</v>
      </c>
      <c r="N35" s="26" t="n">
        <f aca="false">'1. Raw Data'!K34-'1. Raw Data'!J34</f>
        <v>76</v>
      </c>
      <c r="O35" s="39" t="n">
        <f aca="false">'1. Raw Data'!J34</f>
        <v>50</v>
      </c>
      <c r="P35" s="39" t="n">
        <f aca="false">'1. Raw Data'!K34</f>
        <v>126</v>
      </c>
      <c r="Q35" s="40" t="n">
        <f aca="false">'1. Raw Data'!I34</f>
        <v>174.725</v>
      </c>
      <c r="R35" s="40" t="n">
        <f aca="false">'1. Raw Data'!H34</f>
        <v>13.9</v>
      </c>
      <c r="S35" s="40" t="n">
        <f aca="false">'1. Raw Data'!L34</f>
        <v>2228.5</v>
      </c>
      <c r="T35" s="40" t="n">
        <f aca="false">'1. Raw Data'!M34</f>
        <v>2213.25</v>
      </c>
    </row>
    <row r="36" customFormat="false" ht="15" hidden="false" customHeight="true" outlineLevel="0" collapsed="false">
      <c r="A36" s="20" t="s">
        <v>63</v>
      </c>
      <c r="B36" s="21" t="s">
        <v>62</v>
      </c>
      <c r="C36" s="20" t="s">
        <v>54</v>
      </c>
      <c r="D36" s="33" t="n">
        <f aca="false">'1. Raw Data'!D35-'1. Raw Data'!E35*('1. Raw Data'!F35/'1. Raw Data'!G35)</f>
        <v>4259.04975515227</v>
      </c>
      <c r="E36" s="33" t="n">
        <f aca="false">D36*'1. Raw Data'!I35/1000</f>
        <v>733.195415349463</v>
      </c>
      <c r="F36" s="33" t="n">
        <f aca="false">('1. Raw Data'!M35*'1. Raw Data'!K35-'1. Raw Data'!L35*'1. Raw Data'!J35)/1000</f>
        <v>194.111</v>
      </c>
      <c r="G36" s="33" t="n">
        <f aca="false">E36-F36</f>
        <v>539.084415349463</v>
      </c>
      <c r="H36" s="33" t="n">
        <f aca="false">'1. Raw Data'!N35*9.13</f>
        <v>79.8428078185071</v>
      </c>
      <c r="I36" s="33" t="n">
        <f aca="false">'1. Raw Data'!O35*5.64</f>
        <v>67.2950133843213</v>
      </c>
      <c r="J36" s="34" t="n">
        <f aca="false">H36/E36</f>
        <v>0.108897036379383</v>
      </c>
      <c r="K36" s="34" t="n">
        <f aca="false">I36/E36</f>
        <v>0.0917831890045937</v>
      </c>
      <c r="L36" s="33" t="n">
        <f aca="false">'1. Raw Data'!N35/'1. Raw Data'!K35*100</f>
        <v>6.33703254270101</v>
      </c>
      <c r="M36" s="33" t="n">
        <f aca="false">'1. Raw Data'!O35/'1. Raw Data'!K35*100</f>
        <v>8.6461883780863</v>
      </c>
      <c r="N36" s="26" t="n">
        <f aca="false">'1. Raw Data'!K35-'1. Raw Data'!J35</f>
        <v>89</v>
      </c>
      <c r="O36" s="39" t="n">
        <f aca="false">'1. Raw Data'!J35</f>
        <v>49</v>
      </c>
      <c r="P36" s="39" t="n">
        <f aca="false">'1. Raw Data'!K35</f>
        <v>138</v>
      </c>
      <c r="Q36" s="40" t="n">
        <f aca="false">'1. Raw Data'!I35</f>
        <v>172.15</v>
      </c>
      <c r="R36" s="40" t="n">
        <f aca="false">'1. Raw Data'!H35</f>
        <v>12.47</v>
      </c>
      <c r="S36" s="40" t="n">
        <f aca="false">'1. Raw Data'!L35</f>
        <v>2222.5</v>
      </c>
      <c r="T36" s="40" t="n">
        <f aca="false">'1. Raw Data'!M35</f>
        <v>2195.75</v>
      </c>
    </row>
    <row r="37" customFormat="false" ht="15" hidden="false" customHeight="true" outlineLevel="0" collapsed="false">
      <c r="A37" s="20" t="s">
        <v>64</v>
      </c>
      <c r="B37" s="21" t="s">
        <v>62</v>
      </c>
      <c r="C37" s="20" t="s">
        <v>54</v>
      </c>
      <c r="D37" s="33" t="n">
        <f aca="false">'1. Raw Data'!D36-'1. Raw Data'!E36*('1. Raw Data'!F36/'1. Raw Data'!G36)</f>
        <v>4229.11002491325</v>
      </c>
      <c r="E37" s="33" t="n">
        <f aca="false">D37*'1. Raw Data'!I36/1000</f>
        <v>717.151332474665</v>
      </c>
      <c r="F37" s="33" t="n">
        <f aca="false">('1. Raw Data'!M36*'1. Raw Data'!K36-'1. Raw Data'!L36*'1. Raw Data'!J36)/1000</f>
        <v>168.774</v>
      </c>
      <c r="G37" s="33" t="n">
        <f aca="false">E37-F37</f>
        <v>548.377332474665</v>
      </c>
      <c r="H37" s="33" t="n">
        <f aca="false">'1. Raw Data'!N36*9.13</f>
        <v>57.3678616853013</v>
      </c>
      <c r="I37" s="33" t="n">
        <f aca="false">'1. Raw Data'!O36*5.64</f>
        <v>98.2977804154304</v>
      </c>
      <c r="J37" s="34" t="n">
        <f aca="false">H37/E37</f>
        <v>0.0799940808690166</v>
      </c>
      <c r="K37" s="34" t="n">
        <f aca="false">I37/E37</f>
        <v>0.137066998225096</v>
      </c>
      <c r="L37" s="33" t="n">
        <f aca="false">'1. Raw Data'!N36/'1. Raw Data'!K36*100</f>
        <v>4.9868618791444</v>
      </c>
      <c r="M37" s="33" t="n">
        <f aca="false">'1. Raw Data'!O36/'1. Raw Data'!K36*100</f>
        <v>13.8322892625564</v>
      </c>
      <c r="N37" s="26" t="n">
        <f aca="false">'1. Raw Data'!K36-'1. Raw Data'!J36</f>
        <v>78</v>
      </c>
      <c r="O37" s="39" t="n">
        <f aca="false">'1. Raw Data'!J36</f>
        <v>48</v>
      </c>
      <c r="P37" s="39" t="n">
        <f aca="false">'1. Raw Data'!K36</f>
        <v>126</v>
      </c>
      <c r="Q37" s="40" t="n">
        <f aca="false">'1. Raw Data'!I36</f>
        <v>169.575</v>
      </c>
      <c r="R37" s="40" t="n">
        <f aca="false">'1. Raw Data'!H36</f>
        <v>12.15</v>
      </c>
      <c r="S37" s="40" t="n">
        <f aca="false">'1. Raw Data'!L36</f>
        <v>2240.5</v>
      </c>
      <c r="T37" s="40" t="n">
        <f aca="false">'1. Raw Data'!M36</f>
        <v>2193</v>
      </c>
    </row>
    <row r="38" customFormat="false" ht="15" hidden="false" customHeight="true" outlineLevel="0" collapsed="false">
      <c r="A38" s="20" t="s">
        <v>65</v>
      </c>
      <c r="B38" s="21" t="s">
        <v>66</v>
      </c>
      <c r="C38" s="20" t="s">
        <v>54</v>
      </c>
      <c r="D38" s="33" t="n">
        <f aca="false">'1. Raw Data'!D37-'1. Raw Data'!E37*('1. Raw Data'!F37/'1. Raw Data'!G37)</f>
        <v>4198.32415902404</v>
      </c>
      <c r="E38" s="33" t="n">
        <f aca="false">D38*'1. Raw Data'!I37/1000</f>
        <v>701.120134557015</v>
      </c>
      <c r="F38" s="33" t="n">
        <f aca="false">('1. Raw Data'!M37*'1. Raw Data'!K37-'1. Raw Data'!L37*'1. Raw Data'!J37)/1000</f>
        <v>161.28475</v>
      </c>
      <c r="G38" s="33" t="n">
        <f aca="false">E38-F38</f>
        <v>539.835384557015</v>
      </c>
      <c r="H38" s="33" t="n">
        <f aca="false">'1. Raw Data'!N37*9.13</f>
        <v>76.0331967233202</v>
      </c>
      <c r="I38" s="33" t="n">
        <f aca="false">'1. Raw Data'!O37*5.64</f>
        <v>94.0337769002961</v>
      </c>
      <c r="J38" s="34" t="n">
        <f aca="false">H38/E38</f>
        <v>0.108445319105491</v>
      </c>
      <c r="K38" s="34" t="n">
        <f aca="false">I38/E38</f>
        <v>0.134119350259009</v>
      </c>
      <c r="L38" s="33" t="n">
        <f aca="false">'1. Raw Data'!N37/'1. Raw Data'!K37*100</f>
        <v>6.88251398290263</v>
      </c>
      <c r="M38" s="33" t="n">
        <f aca="false">'1. Raw Data'!O37/'1. Raw Data'!K37*100</f>
        <v>13.7790541146908</v>
      </c>
      <c r="N38" s="26" t="n">
        <f aca="false">'1. Raw Data'!K37-'1. Raw Data'!J37</f>
        <v>75</v>
      </c>
      <c r="O38" s="39" t="n">
        <f aca="false">'1. Raw Data'!J37</f>
        <v>46</v>
      </c>
      <c r="P38" s="39" t="n">
        <f aca="false">'1. Raw Data'!K37</f>
        <v>121</v>
      </c>
      <c r="Q38" s="40" t="n">
        <f aca="false">'1. Raw Data'!I37</f>
        <v>167</v>
      </c>
      <c r="R38" s="40" t="n">
        <f aca="false">'1. Raw Data'!H37</f>
        <v>13.17</v>
      </c>
      <c r="S38" s="40" t="n">
        <f aca="false">'1. Raw Data'!L37</f>
        <v>2227.5</v>
      </c>
      <c r="T38" s="40" t="n">
        <f aca="false">'1. Raw Data'!M37</f>
        <v>2179.75</v>
      </c>
    </row>
    <row r="39" customFormat="false" ht="15" hidden="false" customHeight="true" outlineLevel="0" collapsed="false">
      <c r="A39" s="20" t="s">
        <v>67</v>
      </c>
      <c r="B39" s="21" t="s">
        <v>66</v>
      </c>
      <c r="C39" s="20" t="s">
        <v>54</v>
      </c>
      <c r="D39" s="33" t="n">
        <f aca="false">'1. Raw Data'!D38-'1. Raw Data'!E38*('1. Raw Data'!F38/'1. Raw Data'!G38)</f>
        <v>4080.80224257627</v>
      </c>
      <c r="E39" s="33" t="n">
        <f aca="false">D39*'1. Raw Data'!I38/1000</f>
        <v>681.493974510237</v>
      </c>
      <c r="F39" s="33" t="n">
        <f aca="false">('1. Raw Data'!M38*'1. Raw Data'!K38-'1. Raw Data'!L38*'1. Raw Data'!J38)/1000</f>
        <v>211.2975</v>
      </c>
      <c r="G39" s="33" t="n">
        <f aca="false">E39-F39</f>
        <v>470.196474510237</v>
      </c>
      <c r="H39" s="33" t="n">
        <f aca="false">'1. Raw Data'!N38*9.13</f>
        <v>67.2760465856691</v>
      </c>
      <c r="I39" s="33" t="n">
        <f aca="false">'1. Raw Data'!O38*5.64</f>
        <v>85.8611666666666</v>
      </c>
      <c r="J39" s="34" t="n">
        <f aca="false">H39/E39</f>
        <v>0.0987184760276387</v>
      </c>
      <c r="K39" s="34" t="n">
        <f aca="false">I39/E39</f>
        <v>0.125989619685738</v>
      </c>
      <c r="L39" s="33" t="n">
        <f aca="false">'1. Raw Data'!N38/'1. Raw Data'!K38*100</f>
        <v>5.18921112766063</v>
      </c>
      <c r="M39" s="33" t="n">
        <f aca="false">'1. Raw Data'!O38/'1. Raw Data'!K38*100</f>
        <v>10.7208528951487</v>
      </c>
      <c r="N39" s="26" t="n">
        <f aca="false">'1. Raw Data'!K38-'1. Raw Data'!J38</f>
        <v>96</v>
      </c>
      <c r="O39" s="39" t="n">
        <f aca="false">'1. Raw Data'!J38</f>
        <v>46</v>
      </c>
      <c r="P39" s="39" t="n">
        <f aca="false">'1. Raw Data'!K38</f>
        <v>142</v>
      </c>
      <c r="Q39" s="40" t="n">
        <f aca="false">'1. Raw Data'!I38</f>
        <v>167</v>
      </c>
      <c r="R39" s="40" t="n">
        <f aca="false">'1. Raw Data'!H38</f>
        <v>13.98</v>
      </c>
      <c r="S39" s="40" t="n">
        <f aca="false">'1. Raw Data'!L38</f>
        <v>2175.5</v>
      </c>
      <c r="T39" s="40" t="n">
        <f aca="false">'1. Raw Data'!M38</f>
        <v>2192.75</v>
      </c>
    </row>
    <row r="40" customFormat="false" ht="15" hidden="false" customHeight="true" outlineLevel="0" collapsed="false">
      <c r="A40" s="20" t="s">
        <v>68</v>
      </c>
      <c r="B40" s="21" t="s">
        <v>66</v>
      </c>
      <c r="C40" s="20" t="s">
        <v>54</v>
      </c>
      <c r="D40" s="33" t="n">
        <f aca="false">'1. Raw Data'!D39-'1. Raw Data'!E39*('1. Raw Data'!F39/'1. Raw Data'!G39)</f>
        <v>4280.1925386087</v>
      </c>
      <c r="E40" s="33" t="n">
        <f aca="false">D40*'1. Raw Data'!I39/1000</f>
        <v>665.248925313257</v>
      </c>
      <c r="F40" s="33" t="n">
        <f aca="false">('1. Raw Data'!M39*'1. Raw Data'!K39-'1. Raw Data'!L39*'1. Raw Data'!J39)/1000</f>
        <v>196.101</v>
      </c>
      <c r="G40" s="33" t="n">
        <f aca="false">E40-F40</f>
        <v>469.147925313257</v>
      </c>
      <c r="H40" s="33" t="n">
        <f aca="false">'1. Raw Data'!N39*9.13</f>
        <v>81.8223067359931</v>
      </c>
      <c r="I40" s="33" t="n">
        <f aca="false">'1. Raw Data'!O39*5.64</f>
        <v>133.55344606414</v>
      </c>
      <c r="J40" s="34" t="n">
        <f aca="false">H40/E40</f>
        <v>0.122995022799119</v>
      </c>
      <c r="K40" s="34" t="n">
        <f aca="false">I40/E40</f>
        <v>0.200757101563526</v>
      </c>
      <c r="L40" s="33" t="n">
        <f aca="false">'1. Raw Data'!N39/'1. Raw Data'!K39*100</f>
        <v>6.78933143615728</v>
      </c>
      <c r="M40" s="33" t="n">
        <f aca="false">'1. Raw Data'!O39/'1. Raw Data'!K39*100</f>
        <v>17.9391583473216</v>
      </c>
      <c r="N40" s="26" t="n">
        <f aca="false">'1. Raw Data'!K39-'1. Raw Data'!J39</f>
        <v>90</v>
      </c>
      <c r="O40" s="39" t="n">
        <f aca="false">'1. Raw Data'!J39</f>
        <v>42</v>
      </c>
      <c r="P40" s="39" t="n">
        <f aca="false">'1. Raw Data'!K39</f>
        <v>132</v>
      </c>
      <c r="Q40" s="40" t="n">
        <f aca="false">'1. Raw Data'!I39</f>
        <v>155.425</v>
      </c>
      <c r="R40" s="40" t="n">
        <f aca="false">'1. Raw Data'!H39</f>
        <v>14.27</v>
      </c>
      <c r="S40" s="40" t="n">
        <f aca="false">'1. Raw Data'!L39</f>
        <v>2163.5</v>
      </c>
      <c r="T40" s="40" t="n">
        <f aca="false">'1. Raw Data'!M39</f>
        <v>2174</v>
      </c>
    </row>
    <row r="42" customFormat="false" ht="49.5" hidden="false" customHeight="true" outlineLevel="0" collapsed="false">
      <c r="A42" s="27" t="s">
        <v>93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</sheetData>
  <mergeCells count="3">
    <mergeCell ref="A1:T1"/>
    <mergeCell ref="A2:T2"/>
    <mergeCell ref="A42:T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4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6" min="13" style="1" width="10"/>
  </cols>
  <sheetData>
    <row r="1" customFormat="false" ht="21.75" hidden="false" customHeight="true" outlineLevel="0" collapsed="false">
      <c r="A1" s="2" t="s">
        <v>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36" hidden="false" customHeight="true" outlineLevel="0" collapsed="false">
      <c r="A2" s="41" t="s">
        <v>4</v>
      </c>
      <c r="B2" s="41" t="s">
        <v>95</v>
      </c>
      <c r="C2" s="41" t="s">
        <v>17</v>
      </c>
      <c r="D2" s="41" t="s">
        <v>96</v>
      </c>
      <c r="E2" s="41" t="s">
        <v>97</v>
      </c>
      <c r="F2" s="41" t="s">
        <v>98</v>
      </c>
      <c r="G2" s="41" t="s">
        <v>99</v>
      </c>
      <c r="H2" s="41" t="s">
        <v>100</v>
      </c>
      <c r="I2" s="41" t="s">
        <v>101</v>
      </c>
      <c r="J2" s="41" t="s">
        <v>102</v>
      </c>
      <c r="K2" s="41" t="s">
        <v>103</v>
      </c>
      <c r="L2" s="41" t="s">
        <v>104</v>
      </c>
      <c r="M2" s="41" t="s">
        <v>105</v>
      </c>
      <c r="N2" s="41" t="s">
        <v>106</v>
      </c>
      <c r="O2" s="41" t="s">
        <v>107</v>
      </c>
      <c r="P2" s="41" t="s">
        <v>108</v>
      </c>
    </row>
    <row r="3" customFormat="false" ht="15" hidden="false" customHeight="true" outlineLevel="0" collapsed="false">
      <c r="A3" s="42" t="s">
        <v>109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customFormat="false" ht="15" hidden="false" customHeight="true" outlineLevel="0" collapsed="false">
      <c r="A4" s="43" t="s">
        <v>20</v>
      </c>
      <c r="B4" s="44" t="s">
        <v>19</v>
      </c>
      <c r="C4" s="45" t="n">
        <v>3</v>
      </c>
      <c r="D4" s="33" t="n">
        <f aca="false">AVERAGEIF('2. Corrected Calculations'!B5:B40,B4,'2. Corrected Calculations'!E5:E40)</f>
        <v>650.843931119806</v>
      </c>
      <c r="E4" s="33" t="n">
        <f aca="false">IFERROR(STDEV(IF('2. Corrected Calculations'!B5:B40=B4,'2. Corrected Calculations'!E5:E40)),0)</f>
        <v>0</v>
      </c>
      <c r="F4" s="33" t="n">
        <f aca="false">AVERAGEIF('2. Corrected Calculations'!B5:B40,B4,'2. Corrected Calculations'!F5:F40)</f>
        <v>164.826</v>
      </c>
      <c r="G4" s="33" t="n">
        <f aca="false">IFERROR(STDEV(IF('2. Corrected Calculations'!B5:B40=B4,'2. Corrected Calculations'!F5:F40)),0)</f>
        <v>0</v>
      </c>
      <c r="H4" s="33" t="n">
        <f aca="false">AVERAGEIF('2. Corrected Calculations'!B5:B40,B4,'2. Corrected Calculations'!G5:G40)</f>
        <v>486.017931119806</v>
      </c>
      <c r="I4" s="33" t="n">
        <f aca="false">IFERROR(STDEV(IF('2. Corrected Calculations'!B5:B40=B4,'2. Corrected Calculations'!G5:G40)),0)</f>
        <v>0</v>
      </c>
      <c r="J4" s="33" t="n">
        <f aca="false">AVERAGEIF('2. Corrected Calculations'!B5:B40,B4,'2. Corrected Calculations'!H5:H40)</f>
        <v>79.2947773566667</v>
      </c>
      <c r="K4" s="33" t="n">
        <f aca="false">IFERROR(STDEV(IF('2. Corrected Calculations'!B5:B40=B4,'2. Corrected Calculations'!H5:H40)),0)</f>
        <v>0</v>
      </c>
      <c r="L4" s="33" t="n">
        <f aca="false">AVERAGEIF('2. Corrected Calculations'!B5:B40,B4,'2. Corrected Calculations'!I5:I40)</f>
        <v>129.483301018996</v>
      </c>
      <c r="M4" s="33" t="n">
        <f aca="false">IFERROR(STDEV(IF('2. Corrected Calculations'!B5:B40=B4,'2. Corrected Calculations'!I5:I40)),0)</f>
        <v>0</v>
      </c>
      <c r="N4" s="33" t="n">
        <f aca="false">AVERAGEIF('2. Corrected Calculations'!B5:B40,B4,'2. Corrected Calculations'!J5:J40)</f>
        <v>0.121803856323955</v>
      </c>
      <c r="O4" s="33" t="n">
        <f aca="false">IFERROR(STDEV(IF('2. Corrected Calculations'!B5:B40=B4,'2. Corrected Calculations'!J5:J40)),0)</f>
        <v>0</v>
      </c>
      <c r="P4" s="34" t="n">
        <f aca="false">AVERAGEIF('2. Corrected Calculations'!B5:B40,B4,'2. Corrected Calculations'!K5:K40)</f>
        <v>0.198094445035728</v>
      </c>
    </row>
    <row r="5" customFormat="false" ht="15" hidden="false" customHeight="true" outlineLevel="0" collapsed="false">
      <c r="A5" s="5" t="s">
        <v>20</v>
      </c>
      <c r="B5" s="6" t="s">
        <v>24</v>
      </c>
      <c r="C5" s="11" t="n">
        <v>3</v>
      </c>
      <c r="D5" s="33" t="n">
        <f aca="false">AVERAGEIF('2. Corrected Calculations'!B5:B40,B5,'2. Corrected Calculations'!E5:E40)</f>
        <v>606.02054027961</v>
      </c>
      <c r="E5" s="33" t="n">
        <f aca="false">IFERROR(STDEV(IF('2. Corrected Calculations'!B5:B40=B5,'2. Corrected Calculations'!E5:E40)),0)</f>
        <v>0</v>
      </c>
      <c r="F5" s="33" t="n">
        <f aca="false">AVERAGEIF('2. Corrected Calculations'!B5:B40,B5,'2. Corrected Calculations'!F5:F40)</f>
        <v>189.904083333333</v>
      </c>
      <c r="G5" s="33" t="n">
        <f aca="false">IFERROR(STDEV(IF('2. Corrected Calculations'!B5:B40=B5,'2. Corrected Calculations'!F5:F40)),0)</f>
        <v>0</v>
      </c>
      <c r="H5" s="33" t="n">
        <f aca="false">AVERAGEIF('2. Corrected Calculations'!B5:B40,B5,'2. Corrected Calculations'!G5:G40)</f>
        <v>416.116456946277</v>
      </c>
      <c r="I5" s="33" t="n">
        <f aca="false">IFERROR(STDEV(IF('2. Corrected Calculations'!B5:B40=B5,'2. Corrected Calculations'!G5:G40)),0)</f>
        <v>0</v>
      </c>
      <c r="J5" s="33" t="n">
        <f aca="false">AVERAGEIF('2. Corrected Calculations'!B5:B40,B5,'2. Corrected Calculations'!H5:H40)</f>
        <v>70.9620424333333</v>
      </c>
      <c r="K5" s="33" t="n">
        <f aca="false">IFERROR(STDEV(IF('2. Corrected Calculations'!B5:B40=B5,'2. Corrected Calculations'!H5:H40)),0)</f>
        <v>0</v>
      </c>
      <c r="L5" s="33" t="n">
        <f aca="false">AVERAGEIF('2. Corrected Calculations'!B5:B40,B5,'2. Corrected Calculations'!I5:I40)</f>
        <v>83.4810599144657</v>
      </c>
      <c r="M5" s="33" t="n">
        <f aca="false">IFERROR(STDEV(IF('2. Corrected Calculations'!B5:B40=B5,'2. Corrected Calculations'!I5:I40)),0)</f>
        <v>0</v>
      </c>
      <c r="N5" s="33" t="n">
        <f aca="false">AVERAGEIF('2. Corrected Calculations'!B5:B40,B5,'2. Corrected Calculations'!J5:J40)</f>
        <v>0.11695636256486</v>
      </c>
      <c r="O5" s="33" t="n">
        <f aca="false">IFERROR(STDEV(IF('2. Corrected Calculations'!B5:B40=B5,'2. Corrected Calculations'!J5:J40)),0)</f>
        <v>0</v>
      </c>
      <c r="P5" s="34" t="n">
        <f aca="false">AVERAGEIF('2. Corrected Calculations'!B5:B40,B5,'2. Corrected Calculations'!K5:K40)</f>
        <v>0.138070402859338</v>
      </c>
    </row>
    <row r="6" customFormat="false" ht="15" hidden="false" customHeight="true" outlineLevel="0" collapsed="false">
      <c r="A6" s="5" t="s">
        <v>20</v>
      </c>
      <c r="B6" s="6" t="s">
        <v>32</v>
      </c>
      <c r="C6" s="11" t="n">
        <v>3</v>
      </c>
      <c r="D6" s="33" t="n">
        <f aca="false">AVERAGEIF('2. Corrected Calculations'!B5:B40,B6,'2. Corrected Calculations'!E5:E40)</f>
        <v>809.877901753432</v>
      </c>
      <c r="E6" s="33" t="n">
        <f aca="false">IFERROR(STDEV(IF('2. Corrected Calculations'!B5:B40=B6,'2. Corrected Calculations'!E5:E40)),0)</f>
        <v>0</v>
      </c>
      <c r="F6" s="33" t="n">
        <f aca="false">AVERAGEIF('2. Corrected Calculations'!B5:B40,B6,'2. Corrected Calculations'!F5:F40)</f>
        <v>199.531916666667</v>
      </c>
      <c r="G6" s="33" t="n">
        <f aca="false">IFERROR(STDEV(IF('2. Corrected Calculations'!B5:B40=B6,'2. Corrected Calculations'!F5:F40)),0)</f>
        <v>0</v>
      </c>
      <c r="H6" s="33" t="n">
        <f aca="false">AVERAGEIF('2. Corrected Calculations'!B5:B40,B6,'2. Corrected Calculations'!G5:G40)</f>
        <v>610.345985086765</v>
      </c>
      <c r="I6" s="33" t="n">
        <f aca="false">IFERROR(STDEV(IF('2. Corrected Calculations'!B5:B40=B6,'2. Corrected Calculations'!G5:G40)),0)</f>
        <v>0</v>
      </c>
      <c r="J6" s="33" t="n">
        <f aca="false">AVERAGEIF('2. Corrected Calculations'!B5:B40,B6,'2. Corrected Calculations'!H5:H40)</f>
        <v>39.8621034533333</v>
      </c>
      <c r="K6" s="33" t="n">
        <f aca="false">IFERROR(STDEV(IF('2. Corrected Calculations'!B5:B40=B6,'2. Corrected Calculations'!H5:H40)),0)</f>
        <v>0</v>
      </c>
      <c r="L6" s="33" t="n">
        <f aca="false">AVERAGEIF('2. Corrected Calculations'!B5:B40,B6,'2. Corrected Calculations'!I5:I40)</f>
        <v>85.2312538715142</v>
      </c>
      <c r="M6" s="33" t="n">
        <f aca="false">IFERROR(STDEV(IF('2. Corrected Calculations'!B5:B40=B6,'2. Corrected Calculations'!I5:I40)),0)</f>
        <v>0</v>
      </c>
      <c r="N6" s="33" t="n">
        <f aca="false">AVERAGEIF('2. Corrected Calculations'!B5:B40,B6,'2. Corrected Calculations'!J5:J40)</f>
        <v>0.049219616927681</v>
      </c>
      <c r="O6" s="33" t="n">
        <f aca="false">IFERROR(STDEV(IF('2. Corrected Calculations'!B5:B40=B6,'2. Corrected Calculations'!J5:J40)),0)</f>
        <v>0</v>
      </c>
      <c r="P6" s="34" t="n">
        <f aca="false">AVERAGEIF('2. Corrected Calculations'!B5:B40,B6,'2. Corrected Calculations'!K5:K40)</f>
        <v>0.105249500156715</v>
      </c>
    </row>
    <row r="7" customFormat="false" ht="15" hidden="false" customHeight="true" outlineLevel="0" collapsed="false">
      <c r="A7" s="5" t="s">
        <v>20</v>
      </c>
      <c r="B7" s="6" t="s">
        <v>28</v>
      </c>
      <c r="C7" s="11" t="n">
        <v>3</v>
      </c>
      <c r="D7" s="33" t="n">
        <f aca="false">AVERAGEIF('2. Corrected Calculations'!B5:B40,B7,'2. Corrected Calculations'!E5:E40)</f>
        <v>700.147928994289</v>
      </c>
      <c r="E7" s="33" t="n">
        <f aca="false">IFERROR(STDEV(IF('2. Corrected Calculations'!B5:B40=B7,'2. Corrected Calculations'!E5:E40)),0)</f>
        <v>0</v>
      </c>
      <c r="F7" s="33" t="n">
        <f aca="false">AVERAGEIF('2. Corrected Calculations'!B5:B40,B7,'2. Corrected Calculations'!F5:F40)</f>
        <v>180.562833333333</v>
      </c>
      <c r="G7" s="33" t="n">
        <f aca="false">IFERROR(STDEV(IF('2. Corrected Calculations'!B5:B40=B7,'2. Corrected Calculations'!F5:F40)),0)</f>
        <v>0</v>
      </c>
      <c r="H7" s="33" t="n">
        <f aca="false">AVERAGEIF('2. Corrected Calculations'!B5:B40,B7,'2. Corrected Calculations'!G5:G40)</f>
        <v>519.585095660955</v>
      </c>
      <c r="I7" s="33" t="n">
        <f aca="false">IFERROR(STDEV(IF('2. Corrected Calculations'!B5:B40=B7,'2. Corrected Calculations'!G5:G40)),0)</f>
        <v>0</v>
      </c>
      <c r="J7" s="33" t="n">
        <f aca="false">AVERAGEIF('2. Corrected Calculations'!B5:B40,B7,'2. Corrected Calculations'!H5:H40)</f>
        <v>68.5379057</v>
      </c>
      <c r="K7" s="33" t="n">
        <f aca="false">IFERROR(STDEV(IF('2. Corrected Calculations'!B5:B40=B7,'2. Corrected Calculations'!H5:H40)),0)</f>
        <v>0</v>
      </c>
      <c r="L7" s="33" t="n">
        <f aca="false">AVERAGEIF('2. Corrected Calculations'!B5:B40,B7,'2. Corrected Calculations'!I5:I40)</f>
        <v>88.1908493093525</v>
      </c>
      <c r="M7" s="33" t="n">
        <f aca="false">IFERROR(STDEV(IF('2. Corrected Calculations'!B5:B40=B7,'2. Corrected Calculations'!I5:I40)),0)</f>
        <v>0</v>
      </c>
      <c r="N7" s="33" t="n">
        <f aca="false">AVERAGEIF('2. Corrected Calculations'!B5:B40,B7,'2. Corrected Calculations'!J5:J40)</f>
        <v>0.0976506183961433</v>
      </c>
      <c r="O7" s="33" t="n">
        <f aca="false">IFERROR(STDEV(IF('2. Corrected Calculations'!B5:B40=B7,'2. Corrected Calculations'!J5:J40)),0)</f>
        <v>0</v>
      </c>
      <c r="P7" s="34" t="n">
        <f aca="false">AVERAGEIF('2. Corrected Calculations'!B5:B40,B7,'2. Corrected Calculations'!K5:K40)</f>
        <v>0.126819433591976</v>
      </c>
    </row>
    <row r="8" customFormat="false" ht="15" hidden="false" customHeight="true" outlineLevel="0" collapsed="false">
      <c r="A8" s="5" t="s">
        <v>20</v>
      </c>
      <c r="B8" s="6" t="s">
        <v>36</v>
      </c>
      <c r="C8" s="11" t="n">
        <v>3</v>
      </c>
      <c r="D8" s="33" t="n">
        <f aca="false">AVERAGEIF('2. Corrected Calculations'!B5:B40,B8,'2. Corrected Calculations'!E5:E40)</f>
        <v>608.634466282288</v>
      </c>
      <c r="E8" s="33" t="n">
        <f aca="false">IFERROR(STDEV(IF('2. Corrected Calculations'!B5:B40=B8,'2. Corrected Calculations'!E5:E40)),0)</f>
        <v>0</v>
      </c>
      <c r="F8" s="33" t="n">
        <f aca="false">AVERAGEIF('2. Corrected Calculations'!B5:B40,B8,'2. Corrected Calculations'!F5:F40)</f>
        <v>210.201333333333</v>
      </c>
      <c r="G8" s="33" t="n">
        <f aca="false">IFERROR(STDEV(IF('2. Corrected Calculations'!B5:B40=B8,'2. Corrected Calculations'!F5:F40)),0)</f>
        <v>0</v>
      </c>
      <c r="H8" s="33" t="n">
        <f aca="false">AVERAGEIF('2. Corrected Calculations'!B5:B40,B8,'2. Corrected Calculations'!G5:G40)</f>
        <v>398.433132948955</v>
      </c>
      <c r="I8" s="33" t="n">
        <f aca="false">IFERROR(STDEV(IF('2. Corrected Calculations'!B5:B40=B8,'2. Corrected Calculations'!G5:G40)),0)</f>
        <v>0</v>
      </c>
      <c r="J8" s="33" t="n">
        <f aca="false">AVERAGEIF('2. Corrected Calculations'!B5:B40,B8,'2. Corrected Calculations'!H5:H40)</f>
        <v>33.2738315433333</v>
      </c>
      <c r="K8" s="33" t="n">
        <f aca="false">IFERROR(STDEV(IF('2. Corrected Calculations'!B5:B40=B8,'2. Corrected Calculations'!H5:H40)),0)</f>
        <v>0</v>
      </c>
      <c r="L8" s="33" t="n">
        <f aca="false">AVERAGEIF('2. Corrected Calculations'!B5:B40,B8,'2. Corrected Calculations'!I5:I40)</f>
        <v>96.0434118497389</v>
      </c>
      <c r="M8" s="33" t="n">
        <f aca="false">IFERROR(STDEV(IF('2. Corrected Calculations'!B5:B40=B8,'2. Corrected Calculations'!I5:I40)),0)</f>
        <v>0</v>
      </c>
      <c r="N8" s="33" t="n">
        <f aca="false">AVERAGEIF('2. Corrected Calculations'!B5:B40,B8,'2. Corrected Calculations'!J5:J40)</f>
        <v>0.0563039218515047</v>
      </c>
      <c r="O8" s="33" t="n">
        <f aca="false">IFERROR(STDEV(IF('2. Corrected Calculations'!B5:B40=B8,'2. Corrected Calculations'!J5:J40)),0)</f>
        <v>0</v>
      </c>
      <c r="P8" s="34" t="n">
        <f aca="false">AVERAGEIF('2. Corrected Calculations'!B5:B40,B8,'2. Corrected Calculations'!K5:K40)</f>
        <v>0.163569851984405</v>
      </c>
    </row>
    <row r="10" customFormat="false" ht="15" hidden="false" customHeight="true" outlineLevel="0" collapsed="false">
      <c r="A10" s="46" t="s">
        <v>110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</row>
    <row r="11" customFormat="false" ht="15" hidden="false" customHeight="true" outlineLevel="0" collapsed="false">
      <c r="A11" s="43" t="s">
        <v>41</v>
      </c>
      <c r="B11" s="44" t="s">
        <v>19</v>
      </c>
      <c r="C11" s="45" t="n">
        <v>3</v>
      </c>
      <c r="D11" s="33" t="n">
        <f aca="false">AVERAGEIF('2. Corrected Calculations'!B5:B40,B11,'2. Corrected Calculations'!E5:E40)</f>
        <v>650.843931119806</v>
      </c>
      <c r="E11" s="33" t="n">
        <f aca="false">IFERROR(STDEV(IF('2. Corrected Calculations'!B5:B40=B11,'2. Corrected Calculations'!E5:E40)),0)</f>
        <v>0</v>
      </c>
      <c r="F11" s="33" t="n">
        <f aca="false">AVERAGEIF('2. Corrected Calculations'!B5:B40,B11,'2. Corrected Calculations'!F5:F40)</f>
        <v>164.826</v>
      </c>
      <c r="G11" s="33" t="n">
        <f aca="false">IFERROR(STDEV(IF('2. Corrected Calculations'!B5:B40=B11,'2. Corrected Calculations'!F5:F40)),0)</f>
        <v>0</v>
      </c>
      <c r="H11" s="33" t="n">
        <f aca="false">AVERAGEIF('2. Corrected Calculations'!B5:B40,B11,'2. Corrected Calculations'!G5:G40)</f>
        <v>486.017931119806</v>
      </c>
      <c r="I11" s="33" t="n">
        <f aca="false">IFERROR(STDEV(IF('2. Corrected Calculations'!B5:B40=B11,'2. Corrected Calculations'!G5:G40)),0)</f>
        <v>0</v>
      </c>
      <c r="J11" s="33" t="n">
        <f aca="false">AVERAGEIF('2. Corrected Calculations'!B5:B40,B11,'2. Corrected Calculations'!H5:H40)</f>
        <v>79.2947773566667</v>
      </c>
      <c r="K11" s="33" t="n">
        <f aca="false">IFERROR(STDEV(IF('2. Corrected Calculations'!B5:B40=B11,'2. Corrected Calculations'!H5:H40)),0)</f>
        <v>0</v>
      </c>
      <c r="L11" s="33" t="n">
        <f aca="false">AVERAGEIF('2. Corrected Calculations'!B5:B40,B11,'2. Corrected Calculations'!I5:I40)</f>
        <v>129.483301018996</v>
      </c>
      <c r="M11" s="33" t="n">
        <f aca="false">IFERROR(STDEV(IF('2. Corrected Calculations'!B5:B40=B11,'2. Corrected Calculations'!I5:I40)),0)</f>
        <v>0</v>
      </c>
      <c r="N11" s="33" t="n">
        <f aca="false">AVERAGEIF('2. Corrected Calculations'!B5:B40,B11,'2. Corrected Calculations'!J5:J40)</f>
        <v>0.121803856323955</v>
      </c>
      <c r="O11" s="33" t="n">
        <f aca="false">IFERROR(STDEV(IF('2. Corrected Calculations'!B5:B40=B11,'2. Corrected Calculations'!J5:J40)),0)</f>
        <v>0</v>
      </c>
      <c r="P11" s="34" t="n">
        <f aca="false">AVERAGEIF('2. Corrected Calculations'!B5:B40,B11,'2. Corrected Calculations'!K5:K40)</f>
        <v>0.198094445035728</v>
      </c>
    </row>
    <row r="12" customFormat="false" ht="15" hidden="false" customHeight="true" outlineLevel="0" collapsed="false">
      <c r="A12" s="12" t="s">
        <v>41</v>
      </c>
      <c r="B12" s="13" t="s">
        <v>45</v>
      </c>
      <c r="C12" s="18" t="n">
        <v>3</v>
      </c>
      <c r="D12" s="33" t="n">
        <f aca="false">AVERAGEIF('2. Corrected Calculations'!B5:B40,B12,'2. Corrected Calculations'!E5:E40)</f>
        <v>548.231486420581</v>
      </c>
      <c r="E12" s="33" t="n">
        <f aca="false">IFERROR(STDEV(IF('2. Corrected Calculations'!B5:B40=B12,'2. Corrected Calculations'!E5:E40)),0)</f>
        <v>0</v>
      </c>
      <c r="F12" s="33" t="n">
        <f aca="false">AVERAGEIF('2. Corrected Calculations'!B5:B40,B12,'2. Corrected Calculations'!F5:F40)</f>
        <v>170.305833333333</v>
      </c>
      <c r="G12" s="33" t="n">
        <f aca="false">IFERROR(STDEV(IF('2. Corrected Calculations'!B5:B40=B12,'2. Corrected Calculations'!F5:F40)),0)</f>
        <v>0</v>
      </c>
      <c r="H12" s="33" t="n">
        <f aca="false">AVERAGEIF('2. Corrected Calculations'!B5:B40,B12,'2. Corrected Calculations'!G5:G40)</f>
        <v>377.925653087248</v>
      </c>
      <c r="I12" s="33" t="n">
        <f aca="false">IFERROR(STDEV(IF('2. Corrected Calculations'!B5:B40=B12,'2. Corrected Calculations'!G5:G40)),0)</f>
        <v>0</v>
      </c>
      <c r="J12" s="33" t="n">
        <f aca="false">AVERAGEIF('2. Corrected Calculations'!B5:B40,B12,'2. Corrected Calculations'!H5:H40)</f>
        <v>106.888471583796</v>
      </c>
      <c r="K12" s="33" t="n">
        <f aca="false">IFERROR(STDEV(IF('2. Corrected Calculations'!B5:B40=B12,'2. Corrected Calculations'!H5:H40)),0)</f>
        <v>0</v>
      </c>
      <c r="L12" s="33" t="n">
        <f aca="false">AVERAGEIF('2. Corrected Calculations'!B5:B40,B12,'2. Corrected Calculations'!I5:I40)</f>
        <v>113.014136432041</v>
      </c>
      <c r="M12" s="33" t="n">
        <f aca="false">IFERROR(STDEV(IF('2. Corrected Calculations'!B5:B40=B12,'2. Corrected Calculations'!I5:I40)),0)</f>
        <v>0</v>
      </c>
      <c r="N12" s="33" t="n">
        <f aca="false">AVERAGEIF('2. Corrected Calculations'!B5:B40,B12,'2. Corrected Calculations'!J5:J40)</f>
        <v>0.195513683953918</v>
      </c>
      <c r="O12" s="33" t="n">
        <f aca="false">IFERROR(STDEV(IF('2. Corrected Calculations'!B5:B40=B12,'2. Corrected Calculations'!J5:J40)),0)</f>
        <v>0</v>
      </c>
      <c r="P12" s="34" t="n">
        <f aca="false">AVERAGEIF('2. Corrected Calculations'!B5:B40,B12,'2. Corrected Calculations'!K5:K40)</f>
        <v>0.21510626189585</v>
      </c>
    </row>
    <row r="13" customFormat="false" ht="15" hidden="false" customHeight="true" outlineLevel="0" collapsed="false">
      <c r="A13" s="12" t="s">
        <v>41</v>
      </c>
      <c r="B13" s="13" t="s">
        <v>49</v>
      </c>
      <c r="C13" s="18" t="n">
        <v>3</v>
      </c>
      <c r="D13" s="33" t="n">
        <f aca="false">AVERAGEIF('2. Corrected Calculations'!B5:B40,B13,'2. Corrected Calculations'!E5:E40)</f>
        <v>693.255835844291</v>
      </c>
      <c r="E13" s="33" t="n">
        <f aca="false">IFERROR(STDEV(IF('2. Corrected Calculations'!B5:B40=B13,'2. Corrected Calculations'!E5:E40)),0)</f>
        <v>0</v>
      </c>
      <c r="F13" s="33" t="n">
        <f aca="false">AVERAGEIF('2. Corrected Calculations'!B5:B40,B13,'2. Corrected Calculations'!F5:F40)</f>
        <v>196.59575</v>
      </c>
      <c r="G13" s="33" t="n">
        <f aca="false">IFERROR(STDEV(IF('2. Corrected Calculations'!B5:B40=B13,'2. Corrected Calculations'!F5:F40)),0)</f>
        <v>0</v>
      </c>
      <c r="H13" s="33" t="n">
        <f aca="false">AVERAGEIF('2. Corrected Calculations'!B5:B40,B13,'2. Corrected Calculations'!G5:G40)</f>
        <v>496.660085844291</v>
      </c>
      <c r="I13" s="33" t="n">
        <f aca="false">IFERROR(STDEV(IF('2. Corrected Calculations'!B5:B40=B13,'2. Corrected Calculations'!G5:G40)),0)</f>
        <v>0</v>
      </c>
      <c r="J13" s="33" t="n">
        <f aca="false">AVERAGEIF('2. Corrected Calculations'!B5:B40,B13,'2. Corrected Calculations'!H5:H40)</f>
        <v>81.4812633572858</v>
      </c>
      <c r="K13" s="33" t="n">
        <f aca="false">IFERROR(STDEV(IF('2. Corrected Calculations'!B5:B40=B13,'2. Corrected Calculations'!H5:H40)),0)</f>
        <v>0</v>
      </c>
      <c r="L13" s="33" t="n">
        <f aca="false">AVERAGEIF('2. Corrected Calculations'!B5:B40,B13,'2. Corrected Calculations'!I5:I40)</f>
        <v>86.1067020556787</v>
      </c>
      <c r="M13" s="33" t="n">
        <f aca="false">IFERROR(STDEV(IF('2. Corrected Calculations'!B5:B40=B13,'2. Corrected Calculations'!I5:I40)),0)</f>
        <v>0</v>
      </c>
      <c r="N13" s="33" t="n">
        <f aca="false">AVERAGEIF('2. Corrected Calculations'!B5:B40,B13,'2. Corrected Calculations'!J5:J40)</f>
        <v>0.117527416852971</v>
      </c>
      <c r="O13" s="33" t="n">
        <f aca="false">IFERROR(STDEV(IF('2. Corrected Calculations'!B5:B40=B13,'2. Corrected Calculations'!J5:J40)),0)</f>
        <v>0</v>
      </c>
      <c r="P13" s="34" t="n">
        <f aca="false">AVERAGEIF('2. Corrected Calculations'!B5:B40,B13,'2. Corrected Calculations'!K5:K40)</f>
        <v>0.124236264671687</v>
      </c>
    </row>
    <row r="14" customFormat="false" ht="15" hidden="false" customHeight="true" outlineLevel="0" collapsed="false">
      <c r="A14" s="12" t="s">
        <v>41</v>
      </c>
      <c r="B14" s="13" t="s">
        <v>40</v>
      </c>
      <c r="C14" s="18" t="n">
        <v>3</v>
      </c>
      <c r="D14" s="33" t="n">
        <f aca="false">AVERAGEIF('2. Corrected Calculations'!B5:B40,B14,'2. Corrected Calculations'!E5:E40)</f>
        <v>416.042886148604</v>
      </c>
      <c r="E14" s="33" t="n">
        <f aca="false">IFERROR(STDEV(IF('2. Corrected Calculations'!B5:B40=B14,'2. Corrected Calculations'!E5:E40)),0)</f>
        <v>0</v>
      </c>
      <c r="F14" s="33" t="n">
        <f aca="false">AVERAGEIF('2. Corrected Calculations'!B5:B40,B14,'2. Corrected Calculations'!F5:F40)</f>
        <v>198.661166666667</v>
      </c>
      <c r="G14" s="33" t="n">
        <f aca="false">IFERROR(STDEV(IF('2. Corrected Calculations'!B5:B40=B14,'2. Corrected Calculations'!F5:F40)),0)</f>
        <v>0</v>
      </c>
      <c r="H14" s="33" t="n">
        <f aca="false">AVERAGEIF('2. Corrected Calculations'!B5:B40,B14,'2. Corrected Calculations'!G5:G40)</f>
        <v>217.381719481937</v>
      </c>
      <c r="I14" s="33" t="n">
        <f aca="false">IFERROR(STDEV(IF('2. Corrected Calculations'!B5:B40=B14,'2. Corrected Calculations'!G5:G40)),0)</f>
        <v>0</v>
      </c>
      <c r="J14" s="33" t="n">
        <f aca="false">AVERAGEIF('2. Corrected Calculations'!B5:B40,B14,'2. Corrected Calculations'!H5:H40)</f>
        <v>31.6792890047034</v>
      </c>
      <c r="K14" s="33" t="n">
        <f aca="false">IFERROR(STDEV(IF('2. Corrected Calculations'!B5:B40=B14,'2. Corrected Calculations'!H5:H40)),0)</f>
        <v>0</v>
      </c>
      <c r="L14" s="33" t="n">
        <f aca="false">AVERAGEIF('2. Corrected Calculations'!B5:B40,B14,'2. Corrected Calculations'!I5:I40)</f>
        <v>101.39166294133</v>
      </c>
      <c r="M14" s="33" t="n">
        <f aca="false">IFERROR(STDEV(IF('2. Corrected Calculations'!B5:B40=B14,'2. Corrected Calculations'!I5:I40)),0)</f>
        <v>0</v>
      </c>
      <c r="N14" s="33" t="n">
        <f aca="false">AVERAGEIF('2. Corrected Calculations'!B5:B40,B14,'2. Corrected Calculations'!J5:J40)</f>
        <v>0.0761807216021025</v>
      </c>
      <c r="O14" s="33" t="n">
        <f aca="false">IFERROR(STDEV(IF('2. Corrected Calculations'!B5:B40=B14,'2. Corrected Calculations'!J5:J40)),0)</f>
        <v>0</v>
      </c>
      <c r="P14" s="34" t="n">
        <f aca="false">AVERAGEIF('2. Corrected Calculations'!B5:B40,B14,'2. Corrected Calculations'!K5:K40)</f>
        <v>0.245324774206808</v>
      </c>
    </row>
    <row r="16" customFormat="false" ht="15" hidden="false" customHeight="true" outlineLevel="0" collapsed="false">
      <c r="A16" s="47" t="s">
        <v>111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customFormat="false" ht="15" hidden="false" customHeight="true" outlineLevel="0" collapsed="false">
      <c r="A17" s="43" t="s">
        <v>54</v>
      </c>
      <c r="B17" s="44" t="s">
        <v>19</v>
      </c>
      <c r="C17" s="45" t="n">
        <v>3</v>
      </c>
      <c r="D17" s="33" t="n">
        <f aca="false">AVERAGEIF('2. Corrected Calculations'!B5:B40,B17,'2. Corrected Calculations'!E5:E40)</f>
        <v>650.843931119806</v>
      </c>
      <c r="E17" s="33" t="n">
        <f aca="false">IFERROR(STDEV(IF('2. Corrected Calculations'!B5:B40=B17,'2. Corrected Calculations'!E5:E40)),0)</f>
        <v>0</v>
      </c>
      <c r="F17" s="33" t="n">
        <f aca="false">AVERAGEIF('2. Corrected Calculations'!B5:B40,B17,'2. Corrected Calculations'!F5:F40)</f>
        <v>164.826</v>
      </c>
      <c r="G17" s="33" t="n">
        <f aca="false">IFERROR(STDEV(IF('2. Corrected Calculations'!B5:B40=B17,'2. Corrected Calculations'!F5:F40)),0)</f>
        <v>0</v>
      </c>
      <c r="H17" s="33" t="n">
        <f aca="false">AVERAGEIF('2. Corrected Calculations'!B5:B40,B17,'2. Corrected Calculations'!G5:G40)</f>
        <v>486.017931119806</v>
      </c>
      <c r="I17" s="33" t="n">
        <f aca="false">IFERROR(STDEV(IF('2. Corrected Calculations'!B5:B40=B17,'2. Corrected Calculations'!G5:G40)),0)</f>
        <v>0</v>
      </c>
      <c r="J17" s="33" t="n">
        <f aca="false">AVERAGEIF('2. Corrected Calculations'!B5:B40,B17,'2. Corrected Calculations'!H5:H40)</f>
        <v>79.2947773566667</v>
      </c>
      <c r="K17" s="33" t="n">
        <f aca="false">IFERROR(STDEV(IF('2. Corrected Calculations'!B5:B40=B17,'2. Corrected Calculations'!H5:H40)),0)</f>
        <v>0</v>
      </c>
      <c r="L17" s="33" t="n">
        <f aca="false">AVERAGEIF('2. Corrected Calculations'!B5:B40,B17,'2. Corrected Calculations'!I5:I40)</f>
        <v>129.483301018996</v>
      </c>
      <c r="M17" s="33" t="n">
        <f aca="false">IFERROR(STDEV(IF('2. Corrected Calculations'!B5:B40=B17,'2. Corrected Calculations'!I5:I40)),0)</f>
        <v>0</v>
      </c>
      <c r="N17" s="33" t="n">
        <f aca="false">AVERAGEIF('2. Corrected Calculations'!B5:B40,B17,'2. Corrected Calculations'!J5:J40)</f>
        <v>0.121803856323955</v>
      </c>
      <c r="O17" s="33" t="n">
        <f aca="false">IFERROR(STDEV(IF('2. Corrected Calculations'!B5:B40=B17,'2. Corrected Calculations'!J5:J40)),0)</f>
        <v>0</v>
      </c>
      <c r="P17" s="34" t="n">
        <f aca="false">AVERAGEIF('2. Corrected Calculations'!B5:B40,B17,'2. Corrected Calculations'!K5:K40)</f>
        <v>0.198094445035728</v>
      </c>
    </row>
    <row r="18" customFormat="false" ht="15" hidden="false" customHeight="true" outlineLevel="0" collapsed="false">
      <c r="A18" s="20" t="s">
        <v>54</v>
      </c>
      <c r="B18" s="21" t="s">
        <v>58</v>
      </c>
      <c r="C18" s="26" t="n">
        <v>3</v>
      </c>
      <c r="D18" s="33" t="n">
        <f aca="false">AVERAGEIF('2. Corrected Calculations'!B5:B40,B18,'2. Corrected Calculations'!E5:E40)</f>
        <v>747.747821681793</v>
      </c>
      <c r="E18" s="33" t="n">
        <f aca="false">IFERROR(STDEV(IF('2. Corrected Calculations'!B5:B40=B18,'2. Corrected Calculations'!E5:E40)),0)</f>
        <v>0</v>
      </c>
      <c r="F18" s="33" t="n">
        <f aca="false">AVERAGEIF('2. Corrected Calculations'!B5:B40,B18,'2. Corrected Calculations'!F5:F40)</f>
        <v>182.209166666667</v>
      </c>
      <c r="G18" s="33" t="n">
        <f aca="false">IFERROR(STDEV(IF('2. Corrected Calculations'!B5:B40=B18,'2. Corrected Calculations'!F5:F40)),0)</f>
        <v>0</v>
      </c>
      <c r="H18" s="33" t="n">
        <f aca="false">AVERAGEIF('2. Corrected Calculations'!B5:B40,B18,'2. Corrected Calculations'!G5:G40)</f>
        <v>565.538655015126</v>
      </c>
      <c r="I18" s="33" t="n">
        <f aca="false">IFERROR(STDEV(IF('2. Corrected Calculations'!B5:B40=B18,'2. Corrected Calculations'!G5:G40)),0)</f>
        <v>0</v>
      </c>
      <c r="J18" s="33" t="n">
        <f aca="false">AVERAGEIF('2. Corrected Calculations'!B5:B40,B18,'2. Corrected Calculations'!H5:H40)</f>
        <v>36.9467086579114</v>
      </c>
      <c r="K18" s="33" t="n">
        <f aca="false">IFERROR(STDEV(IF('2. Corrected Calculations'!B5:B40=B18,'2. Corrected Calculations'!H5:H40)),0)</f>
        <v>0</v>
      </c>
      <c r="L18" s="33" t="n">
        <f aca="false">AVERAGEIF('2. Corrected Calculations'!B5:B40,B18,'2. Corrected Calculations'!I5:I40)</f>
        <v>94.193701242651</v>
      </c>
      <c r="M18" s="33" t="n">
        <f aca="false">IFERROR(STDEV(IF('2. Corrected Calculations'!B5:B40=B18,'2. Corrected Calculations'!I5:I40)),0)</f>
        <v>0</v>
      </c>
      <c r="N18" s="33" t="n">
        <f aca="false">AVERAGEIF('2. Corrected Calculations'!B5:B40,B18,'2. Corrected Calculations'!J5:J40)</f>
        <v>0.0494073807046104</v>
      </c>
      <c r="O18" s="33" t="n">
        <f aca="false">IFERROR(STDEV(IF('2. Corrected Calculations'!B5:B40=B18,'2. Corrected Calculations'!J5:J40)),0)</f>
        <v>0</v>
      </c>
      <c r="P18" s="34" t="n">
        <f aca="false">AVERAGEIF('2. Corrected Calculations'!B5:B40,B18,'2. Corrected Calculations'!K5:K40)</f>
        <v>0.125908651466389</v>
      </c>
    </row>
    <row r="19" customFormat="false" ht="15" hidden="false" customHeight="true" outlineLevel="0" collapsed="false">
      <c r="A19" s="20" t="s">
        <v>54</v>
      </c>
      <c r="B19" s="21" t="s">
        <v>53</v>
      </c>
      <c r="C19" s="26" t="n">
        <v>3</v>
      </c>
      <c r="D19" s="33" t="n">
        <f aca="false">AVERAGEIF('2. Corrected Calculations'!B5:B40,B19,'2. Corrected Calculations'!E5:E40)</f>
        <v>726.8552208925</v>
      </c>
      <c r="E19" s="33" t="n">
        <f aca="false">IFERROR(STDEV(IF('2. Corrected Calculations'!B5:B40=B19,'2. Corrected Calculations'!E5:E40)),0)</f>
        <v>0</v>
      </c>
      <c r="F19" s="33" t="n">
        <f aca="false">AVERAGEIF('2. Corrected Calculations'!B5:B40,B19,'2. Corrected Calculations'!F5:F40)</f>
        <v>191.950333333333</v>
      </c>
      <c r="G19" s="33" t="n">
        <f aca="false">IFERROR(STDEV(IF('2. Corrected Calculations'!B5:B40=B19,'2. Corrected Calculations'!F5:F40)),0)</f>
        <v>0</v>
      </c>
      <c r="H19" s="33" t="n">
        <f aca="false">AVERAGEIF('2. Corrected Calculations'!B5:B40,B19,'2. Corrected Calculations'!G5:G40)</f>
        <v>534.904887559167</v>
      </c>
      <c r="I19" s="33" t="n">
        <f aca="false">IFERROR(STDEV(IF('2. Corrected Calculations'!B5:B40=B19,'2. Corrected Calculations'!G5:G40)),0)</f>
        <v>0</v>
      </c>
      <c r="J19" s="33" t="n">
        <f aca="false">AVERAGEIF('2. Corrected Calculations'!B5:B40,B19,'2. Corrected Calculations'!H5:H40)</f>
        <v>65.6166727600542</v>
      </c>
      <c r="K19" s="33" t="n">
        <f aca="false">IFERROR(STDEV(IF('2. Corrected Calculations'!B5:B40=B19,'2. Corrected Calculations'!H5:H40)),0)</f>
        <v>0</v>
      </c>
      <c r="L19" s="33" t="n">
        <f aca="false">AVERAGEIF('2. Corrected Calculations'!B5:B40,B19,'2. Corrected Calculations'!I5:I40)</f>
        <v>76.4912877550933</v>
      </c>
      <c r="M19" s="33" t="n">
        <f aca="false">IFERROR(STDEV(IF('2. Corrected Calculations'!B5:B40=B19,'2. Corrected Calculations'!I5:I40)),0)</f>
        <v>0</v>
      </c>
      <c r="N19" s="33" t="n">
        <f aca="false">AVERAGEIF('2. Corrected Calculations'!B5:B40,B19,'2. Corrected Calculations'!J5:J40)</f>
        <v>0.0903579923948062</v>
      </c>
      <c r="O19" s="33" t="n">
        <f aca="false">IFERROR(STDEV(IF('2. Corrected Calculations'!B5:B40=B19,'2. Corrected Calculations'!J5:J40)),0)</f>
        <v>0</v>
      </c>
      <c r="P19" s="34" t="n">
        <f aca="false">AVERAGEIF('2. Corrected Calculations'!B5:B40,B19,'2. Corrected Calculations'!K5:K40)</f>
        <v>0.104800871558192</v>
      </c>
    </row>
    <row r="20" customFormat="false" ht="15" hidden="false" customHeight="true" outlineLevel="0" collapsed="false">
      <c r="A20" s="20" t="s">
        <v>54</v>
      </c>
      <c r="B20" s="21" t="s">
        <v>62</v>
      </c>
      <c r="C20" s="26" t="n">
        <v>3</v>
      </c>
      <c r="D20" s="33" t="n">
        <f aca="false">AVERAGEIF('2. Corrected Calculations'!B5:B40,B20,'2. Corrected Calculations'!E5:E40)</f>
        <v>729.408347770501</v>
      </c>
      <c r="E20" s="33" t="n">
        <f aca="false">IFERROR(STDEV(IF('2. Corrected Calculations'!B5:B40=B20,'2. Corrected Calculations'!E5:E40)),0)</f>
        <v>0</v>
      </c>
      <c r="F20" s="33" t="n">
        <f aca="false">AVERAGEIF('2. Corrected Calculations'!B5:B40,B20,'2. Corrected Calculations'!F5:F40)</f>
        <v>176.7765</v>
      </c>
      <c r="G20" s="33" t="n">
        <f aca="false">IFERROR(STDEV(IF('2. Corrected Calculations'!B5:B40=B20,'2. Corrected Calculations'!F5:F40)),0)</f>
        <v>0</v>
      </c>
      <c r="H20" s="33" t="n">
        <f aca="false">AVERAGEIF('2. Corrected Calculations'!B5:B40,B20,'2. Corrected Calculations'!G5:G40)</f>
        <v>552.631847770501</v>
      </c>
      <c r="I20" s="33" t="n">
        <f aca="false">IFERROR(STDEV(IF('2. Corrected Calculations'!B5:B40=B20,'2. Corrected Calculations'!G5:G40)),0)</f>
        <v>0</v>
      </c>
      <c r="J20" s="33" t="n">
        <f aca="false">AVERAGEIF('2. Corrected Calculations'!B5:B40,B20,'2. Corrected Calculations'!H5:H40)</f>
        <v>70.9159081986044</v>
      </c>
      <c r="K20" s="33" t="n">
        <f aca="false">IFERROR(STDEV(IF('2. Corrected Calculations'!B5:B40=B20,'2. Corrected Calculations'!H5:H40)),0)</f>
        <v>0</v>
      </c>
      <c r="L20" s="33" t="n">
        <f aca="false">AVERAGEIF('2. Corrected Calculations'!B5:B40,B20,'2. Corrected Calculations'!I5:I40)</f>
        <v>93.5673841205733</v>
      </c>
      <c r="M20" s="33" t="n">
        <f aca="false">IFERROR(STDEV(IF('2. Corrected Calculations'!B5:B40=B20,'2. Corrected Calculations'!I5:I40)),0)</f>
        <v>0</v>
      </c>
      <c r="N20" s="33" t="n">
        <f aca="false">AVERAGEIF('2. Corrected Calculations'!B5:B40,B20,'2. Corrected Calculations'!J5:J40)</f>
        <v>0.0970872441676424</v>
      </c>
      <c r="O20" s="33" t="n">
        <f aca="false">IFERROR(STDEV(IF('2. Corrected Calculations'!B5:B40=B20,'2. Corrected Calculations'!J5:J40)),0)</f>
        <v>0</v>
      </c>
      <c r="P20" s="34" t="n">
        <f aca="false">AVERAGEIF('2. Corrected Calculations'!B5:B40,B20,'2. Corrected Calculations'!K5:K40)</f>
        <v>0.12828355135423</v>
      </c>
    </row>
    <row r="21" customFormat="false" ht="15" hidden="false" customHeight="true" outlineLevel="0" collapsed="false">
      <c r="A21" s="20" t="s">
        <v>54</v>
      </c>
      <c r="B21" s="21" t="s">
        <v>66</v>
      </c>
      <c r="C21" s="26" t="n">
        <v>3</v>
      </c>
      <c r="D21" s="33" t="n">
        <f aca="false">AVERAGEIF('2. Corrected Calculations'!B5:B40,B21,'2. Corrected Calculations'!E5:E40)</f>
        <v>682.62101146017</v>
      </c>
      <c r="E21" s="33" t="n">
        <f aca="false">IFERROR(STDEV(IF('2. Corrected Calculations'!B5:B40=B21,'2. Corrected Calculations'!E5:E40)),0)</f>
        <v>0</v>
      </c>
      <c r="F21" s="33" t="n">
        <f aca="false">AVERAGEIF('2. Corrected Calculations'!B5:B40,B21,'2. Corrected Calculations'!F5:F40)</f>
        <v>189.561083333333</v>
      </c>
      <c r="G21" s="33" t="n">
        <f aca="false">IFERROR(STDEV(IF('2. Corrected Calculations'!B5:B40=B21,'2. Corrected Calculations'!F5:F40)),0)</f>
        <v>0</v>
      </c>
      <c r="H21" s="33" t="n">
        <f aca="false">AVERAGEIF('2. Corrected Calculations'!B5:B40,B21,'2. Corrected Calculations'!G5:G40)</f>
        <v>493.059928126836</v>
      </c>
      <c r="I21" s="33" t="n">
        <f aca="false">IFERROR(STDEV(IF('2. Corrected Calculations'!B5:B40=B21,'2. Corrected Calculations'!G5:G40)),0)</f>
        <v>0</v>
      </c>
      <c r="J21" s="33" t="n">
        <f aca="false">AVERAGEIF('2. Corrected Calculations'!B5:B40,B21,'2. Corrected Calculations'!H5:H40)</f>
        <v>75.0438500149941</v>
      </c>
      <c r="K21" s="33" t="n">
        <f aca="false">IFERROR(STDEV(IF('2. Corrected Calculations'!B5:B40=B21,'2. Corrected Calculations'!H5:H40)),0)</f>
        <v>0</v>
      </c>
      <c r="L21" s="33" t="n">
        <f aca="false">AVERAGEIF('2. Corrected Calculations'!B5:B40,B21,'2. Corrected Calculations'!I5:I40)</f>
        <v>104.482796543701</v>
      </c>
      <c r="M21" s="33" t="n">
        <f aca="false">IFERROR(STDEV(IF('2. Corrected Calculations'!B5:B40=B21,'2. Corrected Calculations'!I5:I40)),0)</f>
        <v>0</v>
      </c>
      <c r="N21" s="33" t="n">
        <f aca="false">AVERAGEIF('2. Corrected Calculations'!B5:B40,B21,'2. Corrected Calculations'!J5:J40)</f>
        <v>0.110052939310749</v>
      </c>
      <c r="O21" s="33" t="n">
        <f aca="false">IFERROR(STDEV(IF('2. Corrected Calculations'!B5:B40=B21,'2. Corrected Calculations'!J5:J40)),0)</f>
        <v>0</v>
      </c>
      <c r="P21" s="34" t="n">
        <f aca="false">AVERAGEIF('2. Corrected Calculations'!B5:B40,B21,'2. Corrected Calculations'!K5:K40)</f>
        <v>0.153622023836091</v>
      </c>
    </row>
    <row r="23" customFormat="false" ht="45" hidden="false" customHeight="true" outlineLevel="0" collapsed="false">
      <c r="A23" s="27" t="s">
        <v>112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</sheetData>
  <mergeCells count="5">
    <mergeCell ref="A1:P1"/>
    <mergeCell ref="A3:P3"/>
    <mergeCell ref="A10:P10"/>
    <mergeCell ref="A16:P16"/>
    <mergeCell ref="A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2"/>
  </cols>
  <sheetData>
    <row r="1" customFormat="false" ht="21.75" hidden="false" customHeight="true" outlineLevel="0" collapsed="false">
      <c r="A1" s="2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48" t="s">
        <v>114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customFormat="false" ht="18" hidden="false" customHeight="true" outlineLevel="0" collapsed="false">
      <c r="A3" s="49" t="s">
        <v>115</v>
      </c>
      <c r="B3" s="50" t="n">
        <v>93.9781</v>
      </c>
      <c r="C3" s="49" t="s">
        <v>116</v>
      </c>
      <c r="D3" s="50" t="n">
        <v>0.6438</v>
      </c>
      <c r="E3" s="49" t="s">
        <v>117</v>
      </c>
      <c r="F3" s="50" t="n">
        <v>23.3313</v>
      </c>
      <c r="G3" s="49" t="s">
        <v>118</v>
      </c>
      <c r="H3" s="50" t="n">
        <v>1.6229</v>
      </c>
      <c r="I3" s="49" t="s">
        <v>119</v>
      </c>
      <c r="J3" s="50" t="n">
        <v>0.4999</v>
      </c>
    </row>
    <row r="4" customFormat="false" ht="15" hidden="false" customHeight="true" outlineLevel="0" collapsed="false">
      <c r="A4" s="51" t="s">
        <v>120</v>
      </c>
      <c r="B4" s="51"/>
      <c r="C4" s="51"/>
      <c r="D4" s="51"/>
      <c r="E4" s="51"/>
      <c r="F4" s="51"/>
      <c r="G4" s="51"/>
      <c r="H4" s="51"/>
      <c r="I4" s="51"/>
      <c r="J4" s="51"/>
      <c r="K4" s="51"/>
    </row>
    <row r="5" customFormat="false" ht="15.75" hidden="false" customHeight="true" outlineLevel="0" collapsed="false">
      <c r="A5" s="52" t="s">
        <v>121</v>
      </c>
      <c r="B5" s="52"/>
      <c r="C5" s="53" t="s">
        <v>122</v>
      </c>
      <c r="D5" s="54" t="n">
        <v>93.9781</v>
      </c>
      <c r="E5" s="53" t="s">
        <v>123</v>
      </c>
      <c r="F5" s="54" t="n">
        <v>0.6438</v>
      </c>
      <c r="G5" s="53" t="s">
        <v>124</v>
      </c>
      <c r="H5" s="54" t="n">
        <v>23.3313</v>
      </c>
      <c r="I5" s="53" t="s">
        <v>125</v>
      </c>
      <c r="J5" s="54" t="n">
        <v>1.6229</v>
      </c>
      <c r="K5" s="53" t="s">
        <v>126</v>
      </c>
      <c r="L5" s="54" t="n">
        <v>0.4999</v>
      </c>
    </row>
    <row r="7" customFormat="false" ht="42" hidden="false" customHeight="true" outlineLevel="0" collapsed="false">
      <c r="A7" s="4" t="s">
        <v>4</v>
      </c>
      <c r="B7" s="4" t="s">
        <v>95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131</v>
      </c>
      <c r="H7" s="4" t="s">
        <v>132</v>
      </c>
      <c r="I7" s="4" t="s">
        <v>133</v>
      </c>
      <c r="J7" s="4" t="s">
        <v>134</v>
      </c>
      <c r="K7" s="4" t="s">
        <v>135</v>
      </c>
    </row>
    <row r="8" customFormat="false" ht="15" hidden="false" customHeight="true" outlineLevel="0" collapsed="false">
      <c r="A8" s="5" t="s">
        <v>20</v>
      </c>
      <c r="B8" s="55" t="s">
        <v>19</v>
      </c>
      <c r="C8" s="5" t="s">
        <v>136</v>
      </c>
      <c r="D8" s="56" t="n">
        <v>0.0912</v>
      </c>
      <c r="E8" s="57" t="n">
        <v>10.77</v>
      </c>
      <c r="F8" s="57" t="n">
        <v>650.84</v>
      </c>
      <c r="G8" s="58" t="n">
        <v>486.02</v>
      </c>
      <c r="H8" s="5" t="s">
        <v>137</v>
      </c>
      <c r="I8" s="59" t="n">
        <v>164.83</v>
      </c>
      <c r="J8" s="5" t="s">
        <v>137</v>
      </c>
      <c r="K8" s="60" t="n">
        <v>164.83</v>
      </c>
    </row>
    <row r="9" customFormat="false" ht="15" hidden="false" customHeight="true" outlineLevel="0" collapsed="false">
      <c r="A9" s="61" t="s">
        <v>20</v>
      </c>
      <c r="B9" s="61"/>
      <c r="C9" s="61" t="s">
        <v>138</v>
      </c>
      <c r="D9" s="62" t="n">
        <v>0.0912</v>
      </c>
      <c r="E9" s="63" t="n">
        <v>10.77</v>
      </c>
      <c r="F9" s="63" t="n">
        <v>650.84</v>
      </c>
      <c r="G9" s="64" t="n">
        <f aca="false">D5*D9^F5*10</f>
        <v>201.127445336044</v>
      </c>
      <c r="H9" s="65" t="n">
        <f aca="false">(G8-G9)/G8*100</f>
        <v>58.6174549738604</v>
      </c>
      <c r="I9" s="64" t="n">
        <f aca="false">F9-G9</f>
        <v>449.712554663956</v>
      </c>
      <c r="J9" s="65" t="n">
        <f aca="false">(I8-I9)/I8*100</f>
        <v>-172.834165299979</v>
      </c>
      <c r="K9" s="64" t="n">
        <f aca="false">I9</f>
        <v>449.712554663956</v>
      </c>
    </row>
    <row r="10" customFormat="false" ht="15" hidden="false" customHeight="true" outlineLevel="0" collapsed="false">
      <c r="A10" s="5" t="s">
        <v>20</v>
      </c>
      <c r="B10" s="55" t="s">
        <v>24</v>
      </c>
      <c r="C10" s="5" t="s">
        <v>136</v>
      </c>
      <c r="D10" s="56" t="n">
        <v>0.087</v>
      </c>
      <c r="E10" s="57" t="n">
        <v>9.61</v>
      </c>
      <c r="F10" s="57" t="n">
        <v>606.02</v>
      </c>
      <c r="G10" s="58" t="n">
        <v>416.12</v>
      </c>
      <c r="H10" s="5" t="s">
        <v>137</v>
      </c>
      <c r="I10" s="59" t="n">
        <v>189.9</v>
      </c>
      <c r="J10" s="5" t="s">
        <v>137</v>
      </c>
      <c r="K10" s="60" t="n">
        <v>189.9</v>
      </c>
    </row>
    <row r="11" customFormat="false" ht="15" hidden="false" customHeight="true" outlineLevel="0" collapsed="false">
      <c r="A11" s="61" t="s">
        <v>20</v>
      </c>
      <c r="B11" s="61"/>
      <c r="C11" s="61" t="s">
        <v>138</v>
      </c>
      <c r="D11" s="62" t="n">
        <v>0.087</v>
      </c>
      <c r="E11" s="63" t="n">
        <v>9.61</v>
      </c>
      <c r="F11" s="63" t="n">
        <v>606.02</v>
      </c>
      <c r="G11" s="64" t="n">
        <f aca="false">D5*D11^F5*10</f>
        <v>195.114324757894</v>
      </c>
      <c r="H11" s="65" t="n">
        <f aca="false">(G10-G11)/G10*100</f>
        <v>53.1110437475023</v>
      </c>
      <c r="I11" s="64" t="n">
        <f aca="false">F11-G11</f>
        <v>410.905675242106</v>
      </c>
      <c r="J11" s="65" t="n">
        <f aca="false">(I10-I11)/I10*100</f>
        <v>-116.380029090103</v>
      </c>
      <c r="K11" s="64" t="n">
        <f aca="false">I11</f>
        <v>410.905675242106</v>
      </c>
    </row>
    <row r="12" customFormat="false" ht="15" hidden="false" customHeight="true" outlineLevel="0" collapsed="false">
      <c r="A12" s="5" t="s">
        <v>20</v>
      </c>
      <c r="B12" s="55" t="s">
        <v>32</v>
      </c>
      <c r="C12" s="5" t="s">
        <v>136</v>
      </c>
      <c r="D12" s="56" t="n">
        <v>0.0953</v>
      </c>
      <c r="E12" s="57" t="n">
        <v>11.06</v>
      </c>
      <c r="F12" s="57" t="n">
        <v>809.88</v>
      </c>
      <c r="G12" s="58" t="n">
        <v>610.35</v>
      </c>
      <c r="H12" s="5" t="s">
        <v>137</v>
      </c>
      <c r="I12" s="59" t="n">
        <v>199.53</v>
      </c>
      <c r="J12" s="5" t="s">
        <v>137</v>
      </c>
      <c r="K12" s="60" t="n">
        <v>199.53</v>
      </c>
    </row>
    <row r="13" customFormat="false" ht="15" hidden="false" customHeight="true" outlineLevel="0" collapsed="false">
      <c r="A13" s="61" t="s">
        <v>20</v>
      </c>
      <c r="B13" s="61"/>
      <c r="C13" s="61" t="s">
        <v>138</v>
      </c>
      <c r="D13" s="62" t="n">
        <v>0.0953</v>
      </c>
      <c r="E13" s="63" t="n">
        <v>11.06</v>
      </c>
      <c r="F13" s="63" t="n">
        <v>809.88</v>
      </c>
      <c r="G13" s="64" t="n">
        <f aca="false">D5*D13^F5*10</f>
        <v>206.902943823046</v>
      </c>
      <c r="H13" s="65" t="n">
        <f aca="false">(G12-G13)/G12*100</f>
        <v>66.1009349024255</v>
      </c>
      <c r="I13" s="64" t="n">
        <f aca="false">F13-G13</f>
        <v>602.977056176954</v>
      </c>
      <c r="J13" s="65" t="n">
        <f aca="false">(I12-I13)/I12*100</f>
        <v>-202.198695021778</v>
      </c>
      <c r="K13" s="64" t="n">
        <f aca="false">I13</f>
        <v>602.977056176954</v>
      </c>
    </row>
    <row r="14" customFormat="false" ht="15" hidden="false" customHeight="true" outlineLevel="0" collapsed="false">
      <c r="A14" s="5" t="s">
        <v>20</v>
      </c>
      <c r="B14" s="55" t="s">
        <v>28</v>
      </c>
      <c r="C14" s="5" t="s">
        <v>136</v>
      </c>
      <c r="D14" s="56" t="n">
        <v>0.092</v>
      </c>
      <c r="E14" s="57" t="n">
        <v>10.22</v>
      </c>
      <c r="F14" s="57" t="n">
        <v>700.15</v>
      </c>
      <c r="G14" s="58" t="n">
        <v>519.59</v>
      </c>
      <c r="H14" s="5" t="s">
        <v>137</v>
      </c>
      <c r="I14" s="59" t="n">
        <v>180.56</v>
      </c>
      <c r="J14" s="5" t="s">
        <v>137</v>
      </c>
      <c r="K14" s="60" t="n">
        <v>180.56</v>
      </c>
    </row>
    <row r="15" customFormat="false" ht="15" hidden="false" customHeight="true" outlineLevel="0" collapsed="false">
      <c r="A15" s="61" t="s">
        <v>20</v>
      </c>
      <c r="B15" s="61"/>
      <c r="C15" s="61" t="s">
        <v>138</v>
      </c>
      <c r="D15" s="62" t="n">
        <v>0.092</v>
      </c>
      <c r="E15" s="63" t="n">
        <v>10.22</v>
      </c>
      <c r="F15" s="63" t="n">
        <v>700.15</v>
      </c>
      <c r="G15" s="64" t="n">
        <f aca="false">D5*D15^F5*10</f>
        <v>202.261518617941</v>
      </c>
      <c r="H15" s="65" t="n">
        <f aca="false">(G14-G15)/G14*100</f>
        <v>61.0728615604724</v>
      </c>
      <c r="I15" s="64" t="n">
        <f aca="false">F15-G15</f>
        <v>497.888481382059</v>
      </c>
      <c r="J15" s="65" t="n">
        <f aca="false">(I14-I15)/I14*100</f>
        <v>-175.746832843409</v>
      </c>
      <c r="K15" s="64" t="n">
        <f aca="false">I15</f>
        <v>497.888481382059</v>
      </c>
    </row>
    <row r="16" customFormat="false" ht="15" hidden="false" customHeight="true" outlineLevel="0" collapsed="false">
      <c r="A16" s="5" t="s">
        <v>20</v>
      </c>
      <c r="B16" s="55" t="s">
        <v>36</v>
      </c>
      <c r="C16" s="5" t="s">
        <v>136</v>
      </c>
      <c r="D16" s="56" t="n">
        <v>0.0975</v>
      </c>
      <c r="E16" s="57" t="n">
        <v>11.44</v>
      </c>
      <c r="F16" s="57" t="n">
        <v>608.63</v>
      </c>
      <c r="G16" s="58" t="n">
        <v>398.43</v>
      </c>
      <c r="H16" s="5" t="s">
        <v>137</v>
      </c>
      <c r="I16" s="59" t="n">
        <v>210.2</v>
      </c>
      <c r="J16" s="5" t="s">
        <v>137</v>
      </c>
      <c r="K16" s="60" t="n">
        <v>210.2</v>
      </c>
    </row>
    <row r="17" customFormat="false" ht="15" hidden="false" customHeight="true" outlineLevel="0" collapsed="false">
      <c r="A17" s="61" t="s">
        <v>20</v>
      </c>
      <c r="B17" s="61"/>
      <c r="C17" s="61" t="s">
        <v>138</v>
      </c>
      <c r="D17" s="62" t="n">
        <v>0.0975</v>
      </c>
      <c r="E17" s="63" t="n">
        <v>11.44</v>
      </c>
      <c r="F17" s="63" t="n">
        <v>608.63</v>
      </c>
      <c r="G17" s="64" t="n">
        <f aca="false">D5*D17^F5*10</f>
        <v>209.965447559071</v>
      </c>
      <c r="H17" s="65" t="n">
        <f aca="false">(G16-G17)/G16*100</f>
        <v>47.3017976660716</v>
      </c>
      <c r="I17" s="64" t="n">
        <f aca="false">F17-G17</f>
        <v>398.664552440929</v>
      </c>
      <c r="J17" s="65" t="n">
        <f aca="false">(I16-I17)/I16*100</f>
        <v>-89.6596348434486</v>
      </c>
      <c r="K17" s="64" t="n">
        <f aca="false">I17</f>
        <v>398.664552440929</v>
      </c>
    </row>
    <row r="19" customFormat="false" ht="15" hidden="false" customHeight="true" outlineLevel="0" collapsed="false">
      <c r="A19" s="12" t="s">
        <v>41</v>
      </c>
      <c r="B19" s="66" t="s">
        <v>40</v>
      </c>
      <c r="C19" s="12" t="s">
        <v>136</v>
      </c>
      <c r="D19" s="67" t="n">
        <v>0.0885</v>
      </c>
      <c r="E19" s="68" t="n">
        <v>9.73</v>
      </c>
      <c r="F19" s="68" t="n">
        <v>416.04</v>
      </c>
      <c r="G19" s="69" t="n">
        <v>217.38</v>
      </c>
      <c r="H19" s="12" t="s">
        <v>137</v>
      </c>
      <c r="I19" s="70" t="n">
        <v>198.66</v>
      </c>
      <c r="J19" s="12" t="s">
        <v>137</v>
      </c>
      <c r="K19" s="71" t="n">
        <v>198.66</v>
      </c>
    </row>
    <row r="20" customFormat="false" ht="15" hidden="false" customHeight="true" outlineLevel="0" collapsed="false">
      <c r="A20" s="61" t="s">
        <v>41</v>
      </c>
      <c r="B20" s="61"/>
      <c r="C20" s="61" t="s">
        <v>138</v>
      </c>
      <c r="D20" s="62" t="n">
        <v>0.0885</v>
      </c>
      <c r="E20" s="63" t="n">
        <v>9.73</v>
      </c>
      <c r="F20" s="63" t="n">
        <v>416.04</v>
      </c>
      <c r="G20" s="64" t="n">
        <f aca="false">D5*D20^F5*10</f>
        <v>197.273494672742</v>
      </c>
      <c r="H20" s="65" t="n">
        <f aca="false">(G19-G20)/G19*100</f>
        <v>9.24947342315679</v>
      </c>
      <c r="I20" s="64" t="n">
        <f aca="false">F20-G20</f>
        <v>218.766505327258</v>
      </c>
      <c r="J20" s="65" t="n">
        <f aca="false">(I19-I20)/I19*100</f>
        <v>-10.121063791029</v>
      </c>
      <c r="K20" s="64" t="n">
        <f aca="false">I20</f>
        <v>218.766505327258</v>
      </c>
    </row>
    <row r="21" customFormat="false" ht="15" hidden="false" customHeight="true" outlineLevel="0" collapsed="false">
      <c r="A21" s="12" t="s">
        <v>41</v>
      </c>
      <c r="B21" s="66" t="s">
        <v>45</v>
      </c>
      <c r="C21" s="12" t="s">
        <v>136</v>
      </c>
      <c r="D21" s="67" t="n">
        <v>0.095</v>
      </c>
      <c r="E21" s="68" t="n">
        <v>10.96</v>
      </c>
      <c r="F21" s="68" t="n">
        <v>548.23</v>
      </c>
      <c r="G21" s="69" t="n">
        <v>377.93</v>
      </c>
      <c r="H21" s="12" t="s">
        <v>137</v>
      </c>
      <c r="I21" s="70" t="n">
        <v>170.31</v>
      </c>
      <c r="J21" s="12" t="s">
        <v>137</v>
      </c>
      <c r="K21" s="71" t="n">
        <v>170.31</v>
      </c>
    </row>
    <row r="22" customFormat="false" ht="15" hidden="false" customHeight="true" outlineLevel="0" collapsed="false">
      <c r="A22" s="61" t="s">
        <v>41</v>
      </c>
      <c r="B22" s="61"/>
      <c r="C22" s="61" t="s">
        <v>138</v>
      </c>
      <c r="D22" s="62" t="n">
        <v>0.095</v>
      </c>
      <c r="E22" s="63" t="n">
        <v>10.96</v>
      </c>
      <c r="F22" s="63" t="n">
        <v>548.23</v>
      </c>
      <c r="G22" s="64" t="n">
        <f aca="false">D5*D22^F5*10</f>
        <v>206.483387990919</v>
      </c>
      <c r="H22" s="65" t="n">
        <f aca="false">(G21-G22)/G21*100</f>
        <v>45.3646474238829</v>
      </c>
      <c r="I22" s="64" t="n">
        <f aca="false">F22-G22</f>
        <v>341.746612009081</v>
      </c>
      <c r="J22" s="65" t="n">
        <f aca="false">(I21-I22)/I21*100</f>
        <v>-100.66150666965</v>
      </c>
      <c r="K22" s="64" t="n">
        <f aca="false">I22</f>
        <v>341.746612009081</v>
      </c>
    </row>
    <row r="23" customFormat="false" ht="15" hidden="false" customHeight="true" outlineLevel="0" collapsed="false">
      <c r="A23" s="12" t="s">
        <v>41</v>
      </c>
      <c r="B23" s="66" t="s">
        <v>49</v>
      </c>
      <c r="C23" s="12" t="s">
        <v>136</v>
      </c>
      <c r="D23" s="67" t="n">
        <v>0.0907</v>
      </c>
      <c r="E23" s="68" t="n">
        <v>10.14</v>
      </c>
      <c r="F23" s="68" t="n">
        <v>693.26</v>
      </c>
      <c r="G23" s="69" t="n">
        <v>496.66</v>
      </c>
      <c r="H23" s="12" t="s">
        <v>137</v>
      </c>
      <c r="I23" s="70" t="n">
        <v>196.6</v>
      </c>
      <c r="J23" s="12" t="s">
        <v>137</v>
      </c>
      <c r="K23" s="71" t="n">
        <v>196.6</v>
      </c>
    </row>
    <row r="24" customFormat="false" ht="15" hidden="false" customHeight="true" outlineLevel="0" collapsed="false">
      <c r="A24" s="61" t="s">
        <v>41</v>
      </c>
      <c r="B24" s="61"/>
      <c r="C24" s="61" t="s">
        <v>138</v>
      </c>
      <c r="D24" s="62" t="n">
        <v>0.0907</v>
      </c>
      <c r="E24" s="63" t="n">
        <v>10.14</v>
      </c>
      <c r="F24" s="63" t="n">
        <v>693.26</v>
      </c>
      <c r="G24" s="64" t="n">
        <f aca="false">D5*D24^F5*10</f>
        <v>200.41684995799</v>
      </c>
      <c r="H24" s="65" t="n">
        <f aca="false">(G23-G24)/G23*100</f>
        <v>59.6470724523839</v>
      </c>
      <c r="I24" s="64" t="n">
        <f aca="false">F24-G24</f>
        <v>492.84315004201</v>
      </c>
      <c r="J24" s="65" t="n">
        <f aca="false">(I23-I24)/I23*100</f>
        <v>-150.683189238052</v>
      </c>
      <c r="K24" s="64" t="n">
        <f aca="false">I24</f>
        <v>492.84315004201</v>
      </c>
    </row>
    <row r="26" customFormat="false" ht="15" hidden="false" customHeight="true" outlineLevel="0" collapsed="false">
      <c r="A26" s="20" t="s">
        <v>54</v>
      </c>
      <c r="B26" s="72" t="s">
        <v>53</v>
      </c>
      <c r="C26" s="20" t="s">
        <v>136</v>
      </c>
      <c r="D26" s="73" t="n">
        <v>0.0913</v>
      </c>
      <c r="E26" s="74" t="n">
        <v>10.68</v>
      </c>
      <c r="F26" s="74" t="n">
        <v>726.86</v>
      </c>
      <c r="G26" s="75" t="n">
        <v>534.9</v>
      </c>
      <c r="H26" s="20" t="s">
        <v>137</v>
      </c>
      <c r="I26" s="76" t="n">
        <v>191.95</v>
      </c>
      <c r="J26" s="20" t="s">
        <v>137</v>
      </c>
      <c r="K26" s="77" t="n">
        <v>191.95</v>
      </c>
    </row>
    <row r="27" customFormat="false" ht="15" hidden="false" customHeight="true" outlineLevel="0" collapsed="false">
      <c r="A27" s="61" t="s">
        <v>54</v>
      </c>
      <c r="B27" s="61"/>
      <c r="C27" s="61" t="s">
        <v>138</v>
      </c>
      <c r="D27" s="62" t="n">
        <v>0.0913</v>
      </c>
      <c r="E27" s="63" t="n">
        <v>10.68</v>
      </c>
      <c r="F27" s="63" t="n">
        <v>726.86</v>
      </c>
      <c r="G27" s="64" t="n">
        <f aca="false">D5*D27^F5*10</f>
        <v>201.269397721107</v>
      </c>
      <c r="H27" s="65" t="n">
        <f aca="false">(G26-G27)/G26*100</f>
        <v>62.372518653747</v>
      </c>
      <c r="I27" s="64" t="n">
        <f aca="false">F27-G27</f>
        <v>525.590602278893</v>
      </c>
      <c r="J27" s="65" t="n">
        <f aca="false">(I26-I27)/I26*100</f>
        <v>-173.816411710806</v>
      </c>
      <c r="K27" s="64" t="n">
        <f aca="false">I27</f>
        <v>525.590602278893</v>
      </c>
    </row>
    <row r="28" customFormat="false" ht="15" hidden="false" customHeight="true" outlineLevel="0" collapsed="false">
      <c r="A28" s="20" t="s">
        <v>54</v>
      </c>
      <c r="B28" s="72" t="s">
        <v>58</v>
      </c>
      <c r="C28" s="20" t="s">
        <v>136</v>
      </c>
      <c r="D28" s="73" t="n">
        <v>0.0901</v>
      </c>
      <c r="E28" s="74" t="n">
        <v>10.18</v>
      </c>
      <c r="F28" s="74" t="n">
        <v>747.75</v>
      </c>
      <c r="G28" s="75" t="n">
        <v>565.54</v>
      </c>
      <c r="H28" s="20" t="s">
        <v>137</v>
      </c>
      <c r="I28" s="76" t="n">
        <v>182.21</v>
      </c>
      <c r="J28" s="20" t="s">
        <v>137</v>
      </c>
      <c r="K28" s="77" t="n">
        <v>182.21</v>
      </c>
    </row>
    <row r="29" customFormat="false" ht="15" hidden="false" customHeight="true" outlineLevel="0" collapsed="false">
      <c r="A29" s="61" t="s">
        <v>54</v>
      </c>
      <c r="B29" s="61"/>
      <c r="C29" s="61" t="s">
        <v>138</v>
      </c>
      <c r="D29" s="62" t="n">
        <v>0.0901</v>
      </c>
      <c r="E29" s="63" t="n">
        <v>10.18</v>
      </c>
      <c r="F29" s="63" t="n">
        <v>747.75</v>
      </c>
      <c r="G29" s="64" t="n">
        <f aca="false">D5*D29^F5*10</f>
        <v>199.562290916855</v>
      </c>
      <c r="H29" s="65" t="n">
        <f aca="false">(G28-G29)/G28*100</f>
        <v>64.7129662063063</v>
      </c>
      <c r="I29" s="64" t="n">
        <f aca="false">F29-G29</f>
        <v>548.187709083145</v>
      </c>
      <c r="J29" s="65" t="n">
        <f aca="false">(I28-I29)/I28*100</f>
        <v>-200.854897691205</v>
      </c>
      <c r="K29" s="64" t="n">
        <f aca="false">I29</f>
        <v>548.187709083145</v>
      </c>
    </row>
    <row r="30" customFormat="false" ht="15" hidden="false" customHeight="true" outlineLevel="0" collapsed="false">
      <c r="A30" s="20" t="s">
        <v>54</v>
      </c>
      <c r="B30" s="72" t="s">
        <v>62</v>
      </c>
      <c r="C30" s="20" t="s">
        <v>136</v>
      </c>
      <c r="D30" s="73" t="n">
        <v>0.09</v>
      </c>
      <c r="E30" s="74" t="n">
        <v>10.44</v>
      </c>
      <c r="F30" s="74" t="n">
        <v>729.41</v>
      </c>
      <c r="G30" s="75" t="n">
        <v>552.63</v>
      </c>
      <c r="H30" s="20" t="s">
        <v>137</v>
      </c>
      <c r="I30" s="76" t="n">
        <v>176.78</v>
      </c>
      <c r="J30" s="20" t="s">
        <v>137</v>
      </c>
      <c r="K30" s="77" t="n">
        <v>176.78</v>
      </c>
    </row>
    <row r="31" customFormat="false" ht="15" hidden="false" customHeight="true" outlineLevel="0" collapsed="false">
      <c r="A31" s="61" t="s">
        <v>54</v>
      </c>
      <c r="B31" s="61"/>
      <c r="C31" s="61" t="s">
        <v>138</v>
      </c>
      <c r="D31" s="62" t="n">
        <v>0.09</v>
      </c>
      <c r="E31" s="63" t="n">
        <v>10.44</v>
      </c>
      <c r="F31" s="63" t="n">
        <v>729.41</v>
      </c>
      <c r="G31" s="64" t="n">
        <f aca="false">D5*D31^F5*10</f>
        <v>199.419667596285</v>
      </c>
      <c r="H31" s="65" t="n">
        <f aca="false">(G30-G31)/G30*100</f>
        <v>63.9144332381005</v>
      </c>
      <c r="I31" s="64" t="n">
        <f aca="false">F31-G31</f>
        <v>529.990332403715</v>
      </c>
      <c r="J31" s="65" t="n">
        <f aca="false">(I30-I31)/I30*100</f>
        <v>-199.802201834888</v>
      </c>
      <c r="K31" s="64" t="n">
        <f aca="false">I31</f>
        <v>529.990332403715</v>
      </c>
    </row>
    <row r="32" customFormat="false" ht="15" hidden="false" customHeight="true" outlineLevel="0" collapsed="false">
      <c r="A32" s="20" t="s">
        <v>54</v>
      </c>
      <c r="B32" s="72" t="s">
        <v>66</v>
      </c>
      <c r="C32" s="20" t="s">
        <v>136</v>
      </c>
      <c r="D32" s="73" t="n">
        <v>0.0921</v>
      </c>
      <c r="E32" s="74" t="n">
        <v>10.68</v>
      </c>
      <c r="F32" s="74" t="n">
        <v>682.62</v>
      </c>
      <c r="G32" s="75" t="n">
        <v>493.06</v>
      </c>
      <c r="H32" s="20" t="s">
        <v>137</v>
      </c>
      <c r="I32" s="76" t="n">
        <v>189.56</v>
      </c>
      <c r="J32" s="20" t="s">
        <v>137</v>
      </c>
      <c r="K32" s="77" t="n">
        <v>189.56</v>
      </c>
    </row>
    <row r="33" customFormat="false" ht="15" hidden="false" customHeight="true" outlineLevel="0" collapsed="false">
      <c r="A33" s="61" t="s">
        <v>54</v>
      </c>
      <c r="B33" s="61"/>
      <c r="C33" s="61" t="s">
        <v>138</v>
      </c>
      <c r="D33" s="62" t="n">
        <v>0.0921</v>
      </c>
      <c r="E33" s="63" t="n">
        <v>10.68</v>
      </c>
      <c r="F33" s="63" t="n">
        <v>682.62</v>
      </c>
      <c r="G33" s="64" t="n">
        <f aca="false">D5*D33^F5*10</f>
        <v>202.403030324411</v>
      </c>
      <c r="H33" s="65" t="n">
        <f aca="false">(G32-G33)/G32*100</f>
        <v>58.9496145855654</v>
      </c>
      <c r="I33" s="64" t="n">
        <f aca="false">F33-G33</f>
        <v>480.216969675589</v>
      </c>
      <c r="J33" s="65" t="n">
        <f aca="false">(I32-I33)/I32*100</f>
        <v>-153.332438106979</v>
      </c>
      <c r="K33" s="64" t="n">
        <f aca="false">I33</f>
        <v>480.216969675589</v>
      </c>
    </row>
    <row r="35" customFormat="false" ht="45" hidden="false" customHeight="true" outlineLevel="0" collapsed="false">
      <c r="A35" s="27" t="s">
        <v>139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</row>
  </sheetData>
  <mergeCells count="5">
    <mergeCell ref="A1:K1"/>
    <mergeCell ref="A2:K2"/>
    <mergeCell ref="A4:K4"/>
    <mergeCell ref="A5:B5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140</v>
      </c>
      <c r="B1" s="2"/>
      <c r="C1" s="2"/>
      <c r="D1" s="2"/>
      <c r="E1" s="2"/>
    </row>
    <row r="2" customFormat="false" ht="15" hidden="false" customHeight="true" outlineLevel="0" collapsed="false">
      <c r="A2" s="42" t="s">
        <v>141</v>
      </c>
      <c r="B2" s="42"/>
      <c r="C2" s="42"/>
      <c r="D2" s="42"/>
      <c r="E2" s="42"/>
    </row>
    <row r="3" customFormat="false" ht="21.75" hidden="false" customHeight="true" outlineLevel="0" collapsed="false">
      <c r="A3" s="78" t="s">
        <v>142</v>
      </c>
      <c r="B3" s="79" t="n">
        <v>9.13</v>
      </c>
      <c r="C3" s="78" t="s">
        <v>143</v>
      </c>
      <c r="D3" s="80" t="s">
        <v>144</v>
      </c>
    </row>
    <row r="4" customFormat="false" ht="21.75" hidden="false" customHeight="true" outlineLevel="0" collapsed="false">
      <c r="A4" s="78" t="s">
        <v>145</v>
      </c>
      <c r="B4" s="79" t="n">
        <v>5.64</v>
      </c>
      <c r="C4" s="78" t="s">
        <v>143</v>
      </c>
      <c r="D4" s="80" t="s">
        <v>144</v>
      </c>
    </row>
    <row r="5" customFormat="false" ht="15" hidden="false" customHeight="true" outlineLevel="0" collapsed="false">
      <c r="A5" s="78" t="s">
        <v>146</v>
      </c>
      <c r="B5" s="79" t="n">
        <v>8.22</v>
      </c>
      <c r="C5" s="78" t="s">
        <v>147</v>
      </c>
      <c r="D5" s="80" t="s">
        <v>148</v>
      </c>
    </row>
    <row r="6" customFormat="false" ht="15" hidden="false" customHeight="true" outlineLevel="0" collapsed="false">
      <c r="A6" s="78"/>
      <c r="B6" s="79"/>
      <c r="C6" s="78"/>
      <c r="D6" s="80"/>
    </row>
    <row r="7" customFormat="false" ht="15" hidden="false" customHeight="true" outlineLevel="0" collapsed="false">
      <c r="A7" s="42" t="s">
        <v>149</v>
      </c>
      <c r="B7" s="42"/>
      <c r="C7" s="42"/>
      <c r="D7" s="42"/>
      <c r="E7" s="42"/>
    </row>
    <row r="8" customFormat="false" ht="15" hidden="false" customHeight="true" outlineLevel="0" collapsed="false">
      <c r="A8" s="78" t="s">
        <v>150</v>
      </c>
      <c r="B8" s="79" t="n">
        <v>93.9781</v>
      </c>
      <c r="C8" s="78" t="s">
        <v>151</v>
      </c>
      <c r="D8" s="80" t="s">
        <v>152</v>
      </c>
    </row>
    <row r="9" customFormat="false" ht="15" hidden="false" customHeight="true" outlineLevel="0" collapsed="false">
      <c r="A9" s="78" t="s">
        <v>153</v>
      </c>
      <c r="B9" s="79" t="n">
        <v>0.6438</v>
      </c>
      <c r="C9" s="78" t="s">
        <v>137</v>
      </c>
      <c r="D9" s="80" t="s">
        <v>154</v>
      </c>
    </row>
    <row r="10" customFormat="false" ht="15" hidden="false" customHeight="true" outlineLevel="0" collapsed="false">
      <c r="A10" s="78" t="s">
        <v>155</v>
      </c>
      <c r="B10" s="79" t="n">
        <v>23.3313</v>
      </c>
      <c r="C10" s="78" t="s">
        <v>156</v>
      </c>
      <c r="D10" s="80" t="s">
        <v>157</v>
      </c>
    </row>
    <row r="11" customFormat="false" ht="15" hidden="false" customHeight="true" outlineLevel="0" collapsed="false">
      <c r="A11" s="78" t="s">
        <v>158</v>
      </c>
      <c r="B11" s="79" t="n">
        <v>1.6229</v>
      </c>
      <c r="C11" s="78" t="s">
        <v>137</v>
      </c>
      <c r="D11" s="80" t="s">
        <v>159</v>
      </c>
    </row>
    <row r="12" customFormat="false" ht="15" hidden="false" customHeight="true" outlineLevel="0" collapsed="false">
      <c r="A12" s="78" t="s">
        <v>160</v>
      </c>
      <c r="B12" s="79" t="n">
        <v>0.4999</v>
      </c>
      <c r="C12" s="78" t="s">
        <v>137</v>
      </c>
      <c r="D12" s="80" t="s">
        <v>161</v>
      </c>
    </row>
    <row r="13" customFormat="false" ht="15" hidden="false" customHeight="true" outlineLevel="0" collapsed="false">
      <c r="A13" s="78" t="s">
        <v>162</v>
      </c>
      <c r="B13" s="79" t="n">
        <v>1.6629</v>
      </c>
      <c r="C13" s="78" t="s">
        <v>156</v>
      </c>
      <c r="D13" s="80" t="s">
        <v>163</v>
      </c>
    </row>
    <row r="14" customFormat="false" ht="15" hidden="false" customHeight="true" outlineLevel="0" collapsed="false">
      <c r="A14" s="78" t="s">
        <v>164</v>
      </c>
      <c r="B14" s="79" t="n">
        <v>0.6272</v>
      </c>
      <c r="C14" s="78" t="s">
        <v>156</v>
      </c>
      <c r="D14" s="80" t="s">
        <v>165</v>
      </c>
    </row>
    <row r="15" customFormat="false" ht="15" hidden="false" customHeight="true" outlineLevel="0" collapsed="false">
      <c r="A15" s="78"/>
      <c r="B15" s="79"/>
      <c r="C15" s="78"/>
      <c r="D15" s="80"/>
    </row>
    <row r="16" customFormat="false" ht="15" hidden="false" customHeight="true" outlineLevel="0" collapsed="false">
      <c r="A16" s="42" t="s">
        <v>166</v>
      </c>
      <c r="B16" s="42"/>
      <c r="C16" s="42"/>
      <c r="D16" s="42"/>
      <c r="E16" s="42"/>
    </row>
    <row r="17" customFormat="false" ht="15" hidden="false" customHeight="true" outlineLevel="0" collapsed="false">
      <c r="A17" s="78" t="s">
        <v>167</v>
      </c>
      <c r="B17" s="79" t="s">
        <v>168</v>
      </c>
      <c r="C17" s="78" t="s">
        <v>169</v>
      </c>
      <c r="D17" s="80" t="s">
        <v>170</v>
      </c>
    </row>
    <row r="18" customFormat="false" ht="15" hidden="false" customHeight="true" outlineLevel="0" collapsed="false">
      <c r="A18" s="78" t="s">
        <v>171</v>
      </c>
      <c r="B18" s="79" t="s">
        <v>168</v>
      </c>
      <c r="C18" s="78" t="s">
        <v>172</v>
      </c>
      <c r="D18" s="80" t="s">
        <v>173</v>
      </c>
    </row>
    <row r="19" customFormat="false" ht="15" hidden="false" customHeight="true" outlineLevel="0" collapsed="false">
      <c r="A19" s="78" t="s">
        <v>174</v>
      </c>
      <c r="B19" s="79" t="s">
        <v>168</v>
      </c>
      <c r="C19" s="78" t="s">
        <v>175</v>
      </c>
      <c r="D19" s="80" t="s">
        <v>176</v>
      </c>
    </row>
    <row r="20" customFormat="false" ht="15" hidden="false" customHeight="true" outlineLevel="0" collapsed="false">
      <c r="A20" s="78" t="s">
        <v>177</v>
      </c>
      <c r="B20" s="79" t="s">
        <v>168</v>
      </c>
      <c r="C20" s="78" t="s">
        <v>178</v>
      </c>
      <c r="D20" s="80" t="s">
        <v>179</v>
      </c>
    </row>
    <row r="21" customFormat="false" ht="15" hidden="false" customHeight="true" outlineLevel="0" collapsed="false">
      <c r="A21" s="78" t="s">
        <v>180</v>
      </c>
      <c r="B21" s="79" t="s">
        <v>168</v>
      </c>
      <c r="C21" s="78" t="s">
        <v>181</v>
      </c>
      <c r="D21" s="80" t="s">
        <v>182</v>
      </c>
    </row>
    <row r="22" customFormat="false" ht="15" hidden="false" customHeight="true" outlineLevel="0" collapsed="false">
      <c r="A22" s="78" t="s">
        <v>183</v>
      </c>
      <c r="B22" s="79" t="s">
        <v>168</v>
      </c>
      <c r="C22" s="78" t="s">
        <v>184</v>
      </c>
      <c r="D22" s="80" t="s">
        <v>185</v>
      </c>
    </row>
    <row r="23" customFormat="false" ht="15" hidden="false" customHeight="true" outlineLevel="0" collapsed="false">
      <c r="A23" s="78" t="s">
        <v>186</v>
      </c>
      <c r="B23" s="79" t="s">
        <v>168</v>
      </c>
      <c r="C23" s="78" t="s">
        <v>187</v>
      </c>
      <c r="D23" s="80" t="s">
        <v>188</v>
      </c>
    </row>
    <row r="24" customFormat="false" ht="15" hidden="false" customHeight="true" outlineLevel="0" collapsed="false">
      <c r="A24" s="78"/>
      <c r="B24" s="79"/>
      <c r="C24" s="78"/>
      <c r="D24" s="80"/>
    </row>
    <row r="25" customFormat="false" ht="15" hidden="false" customHeight="true" outlineLevel="0" collapsed="false">
      <c r="A25" s="42" t="s">
        <v>189</v>
      </c>
      <c r="B25" s="42"/>
      <c r="C25" s="42"/>
      <c r="D25" s="42"/>
      <c r="E25" s="42"/>
    </row>
    <row r="26" customFormat="false" ht="15" hidden="false" customHeight="true" outlineLevel="0" collapsed="false">
      <c r="A26" s="78" t="s">
        <v>190</v>
      </c>
      <c r="B26" s="79" t="s">
        <v>137</v>
      </c>
      <c r="C26" s="78" t="s">
        <v>191</v>
      </c>
      <c r="D26" s="80" t="s">
        <v>192</v>
      </c>
    </row>
    <row r="27" customFormat="false" ht="15" hidden="false" customHeight="true" outlineLevel="0" collapsed="false">
      <c r="A27" s="78" t="s">
        <v>193</v>
      </c>
      <c r="B27" s="79" t="s">
        <v>137</v>
      </c>
      <c r="C27" s="78" t="s">
        <v>194</v>
      </c>
      <c r="D27" s="80" t="s">
        <v>195</v>
      </c>
    </row>
    <row r="28" customFormat="false" ht="15" hidden="false" customHeight="true" outlineLevel="0" collapsed="false">
      <c r="A28" s="78" t="s">
        <v>196</v>
      </c>
      <c r="B28" s="79" t="s">
        <v>137</v>
      </c>
      <c r="C28" s="78" t="s">
        <v>197</v>
      </c>
      <c r="D28" s="80" t="s">
        <v>198</v>
      </c>
    </row>
    <row r="29" customFormat="false" ht="15" hidden="false" customHeight="true" outlineLevel="0" collapsed="false">
      <c r="A29" s="78" t="s">
        <v>199</v>
      </c>
      <c r="B29" s="79" t="s">
        <v>137</v>
      </c>
      <c r="C29" s="78" t="s">
        <v>200</v>
      </c>
      <c r="D29" s="80" t="s">
        <v>201</v>
      </c>
    </row>
    <row r="30" customFormat="false" ht="15" hidden="false" customHeight="true" outlineLevel="0" collapsed="false">
      <c r="A30" s="78" t="s">
        <v>202</v>
      </c>
      <c r="B30" s="79" t="s">
        <v>137</v>
      </c>
      <c r="C30" s="78" t="s">
        <v>203</v>
      </c>
      <c r="D30" s="80" t="s">
        <v>204</v>
      </c>
    </row>
  </sheetData>
  <mergeCells count="5">
    <mergeCell ref="A1:E1"/>
    <mergeCell ref="A2:E2"/>
    <mergeCell ref="A7:E7"/>
    <mergeCell ref="A16:E16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2026-03-27T20:54:40Z</dcterms:created>
  <dc:creator>openpyxl</dc:creator>
  <dc:description/>
  <dc:language>en-US</dc:language>
  <cp:lastModifiedBy/>
  <dcterms:modified xsi:type="dcterms:W3CDTF">2026-03-27T20:54:59Z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